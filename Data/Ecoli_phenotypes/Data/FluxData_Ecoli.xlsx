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ert\Promo\Projekte\Protein Allocation\Literature review\"/>
    </mc:Choice>
  </mc:AlternateContent>
  <xr:revisionPtr revIDLastSave="0" documentId="13_ncr:1_{85D539EE-485A-45DA-A47C-5E1EE2A0E94F}" xr6:coauthVersionLast="47" xr6:coauthVersionMax="47" xr10:uidLastSave="{00000000-0000-0000-0000-000000000000}"/>
  <bookViews>
    <workbookView minimized="1" xWindow="12555" yWindow="90" windowWidth="14235" windowHeight="14805" firstSheet="1" activeTab="1" xr2:uid="{44D083E4-B51E-4A3E-B5F2-B85335EFC035}"/>
  </bookViews>
  <sheets>
    <sheet name="Info" sheetId="1" r:id="rId1"/>
    <sheet name="Gerosa 2015" sheetId="2" r:id="rId2"/>
    <sheet name="Rijsewijk 2011" sheetId="3" r:id="rId3"/>
    <sheet name="Nanchen 2006" sheetId="4" r:id="rId4"/>
    <sheet name="Summary Specific Poin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2" l="1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D36" i="4"/>
  <c r="U8" i="4" l="1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7" i="4"/>
  <c r="M8" i="2" l="1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7" i="2"/>
  <c r="V17" i="4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7" i="3"/>
</calcChain>
</file>

<file path=xl/sharedStrings.xml><?xml version="1.0" encoding="utf-8"?>
<sst xmlns="http://schemas.openxmlformats.org/spreadsheetml/2006/main" count="262" uniqueCount="181">
  <si>
    <t>Intracellular Flux Data</t>
  </si>
  <si>
    <t>E. coli K12</t>
  </si>
  <si>
    <t>Different growth rates</t>
  </si>
  <si>
    <t>22.02.2019</t>
  </si>
  <si>
    <t>Gerosa 2015</t>
  </si>
  <si>
    <t>10.1016/j.cels.2015.09.008</t>
  </si>
  <si>
    <t>E. coli BW25113</t>
  </si>
  <si>
    <t>Flux (publication)</t>
  </si>
  <si>
    <t>Reaction identifier</t>
  </si>
  <si>
    <t>Reversibility</t>
  </si>
  <si>
    <t>Acetate</t>
  </si>
  <si>
    <t>Fructose</t>
  </si>
  <si>
    <t>Galactose</t>
  </si>
  <si>
    <t>Glucose</t>
  </si>
  <si>
    <t>Glycerol</t>
  </si>
  <si>
    <t>Gluconate</t>
  </si>
  <si>
    <t>Pyruvate</t>
  </si>
  <si>
    <t>Succinate</t>
  </si>
  <si>
    <t>Glucose (flux ratio Glc)</t>
  </si>
  <si>
    <t>Ace_Ex</t>
  </si>
  <si>
    <t>EX_ac_e_b</t>
  </si>
  <si>
    <t>Fru_Ex</t>
  </si>
  <si>
    <t>EX_fru_e_b</t>
  </si>
  <si>
    <t>Gal_Ex</t>
  </si>
  <si>
    <t>EX_gal_e_b</t>
  </si>
  <si>
    <t>Glc_Ex</t>
  </si>
  <si>
    <t>EX_glc__D_e_b</t>
  </si>
  <si>
    <t>Gly_Ex</t>
  </si>
  <si>
    <t>EX_glyc_e_b</t>
  </si>
  <si>
    <t>Gln_Ex</t>
  </si>
  <si>
    <t>EX_glcn_e_b</t>
  </si>
  <si>
    <t>Pyr_Ex</t>
  </si>
  <si>
    <t>EX_pyr_e_b</t>
  </si>
  <si>
    <t>Suc_Ex</t>
  </si>
  <si>
    <t>EX_succ_e_b</t>
  </si>
  <si>
    <t>Fum_Ex</t>
  </si>
  <si>
    <t>Lac_Ex</t>
  </si>
  <si>
    <t>PGI</t>
  </si>
  <si>
    <t>x</t>
  </si>
  <si>
    <t>PFK-FBP</t>
  </si>
  <si>
    <t>PFK/FBP</t>
  </si>
  <si>
    <t>FBA</t>
  </si>
  <si>
    <t>TPI</t>
  </si>
  <si>
    <t>Middle_EMP</t>
  </si>
  <si>
    <t>Low_EMP</t>
  </si>
  <si>
    <t>PYK-PPS</t>
  </si>
  <si>
    <t>PYK, PYK2, PYK3, PYK4, PYK5</t>
  </si>
  <si>
    <t>PDH</t>
  </si>
  <si>
    <t>ED</t>
  </si>
  <si>
    <t>EDA</t>
  </si>
  <si>
    <t>PPP_ED_branch</t>
  </si>
  <si>
    <t>Early_PPP</t>
  </si>
  <si>
    <t>RPI</t>
  </si>
  <si>
    <t>RPE</t>
  </si>
  <si>
    <t>Non-ox_PPP</t>
  </si>
  <si>
    <t>TKT2</t>
  </si>
  <si>
    <t>PPC</t>
  </si>
  <si>
    <t>PPCK</t>
  </si>
  <si>
    <t>Early_TCA</t>
  </si>
  <si>
    <t>ICDH</t>
  </si>
  <si>
    <t>ICDHyr</t>
  </si>
  <si>
    <t>Int_TCA</t>
  </si>
  <si>
    <t>SUCDH3</t>
  </si>
  <si>
    <t>SUCDi</t>
  </si>
  <si>
    <t>FUM</t>
  </si>
  <si>
    <t xml:space="preserve">FUM </t>
  </si>
  <si>
    <t>MDH+MQO</t>
  </si>
  <si>
    <t>MDH, MDH2, MDH3</t>
  </si>
  <si>
    <t>x(MDH)</t>
  </si>
  <si>
    <t>ME</t>
  </si>
  <si>
    <t>ME1, ME2</t>
  </si>
  <si>
    <t>Glx_Cycle</t>
  </si>
  <si>
    <t>ICL</t>
  </si>
  <si>
    <t>Growth_rate</t>
  </si>
  <si>
    <t>BIOMASS_Ec_iML1515_WT_75p37M</t>
  </si>
  <si>
    <t>Biomass yield</t>
  </si>
  <si>
    <t>Rijsewik 2011</t>
  </si>
  <si>
    <t>10.1038/msb.2011.9</t>
  </si>
  <si>
    <t>Glucose (Duplicate)</t>
  </si>
  <si>
    <t>Glucose Mean</t>
  </si>
  <si>
    <t>Specific glucose uptake rate</t>
  </si>
  <si>
    <t>Specific growth rate</t>
  </si>
  <si>
    <t>Specific acetate secretion rate</t>
  </si>
  <si>
    <t>EX_ac_e_f</t>
  </si>
  <si>
    <t>pts</t>
  </si>
  <si>
    <t>GLCptspp</t>
  </si>
  <si>
    <t>zwf</t>
  </si>
  <si>
    <t>G6PDH2r_f</t>
  </si>
  <si>
    <t>gnd</t>
  </si>
  <si>
    <t>GND</t>
  </si>
  <si>
    <t>pgi</t>
  </si>
  <si>
    <t>PGI_f</t>
  </si>
  <si>
    <t>edd, eda</t>
  </si>
  <si>
    <t>pfk, fba</t>
  </si>
  <si>
    <t>PFK</t>
  </si>
  <si>
    <t>tktA</t>
  </si>
  <si>
    <t>TKT1_f</t>
  </si>
  <si>
    <t>tktB</t>
  </si>
  <si>
    <t>TKT2_f</t>
  </si>
  <si>
    <t>tal</t>
  </si>
  <si>
    <t>TALA_f</t>
  </si>
  <si>
    <t>gap, pgk</t>
  </si>
  <si>
    <t>GAPD_f</t>
  </si>
  <si>
    <t>eno</t>
  </si>
  <si>
    <t>ENO_f</t>
  </si>
  <si>
    <t>pyk</t>
  </si>
  <si>
    <t>pdh</t>
  </si>
  <si>
    <t>glta, can</t>
  </si>
  <si>
    <t>CS</t>
  </si>
  <si>
    <t>icd</t>
  </si>
  <si>
    <t>ICDHyr_f</t>
  </si>
  <si>
    <t>suc</t>
  </si>
  <si>
    <t>sdh, fum</t>
  </si>
  <si>
    <t>FUM_f</t>
  </si>
  <si>
    <t>mdh</t>
  </si>
  <si>
    <t>MDH_f, MDH3, MDH2</t>
  </si>
  <si>
    <t>mae</t>
  </si>
  <si>
    <t>pck</t>
  </si>
  <si>
    <t>pcc</t>
  </si>
  <si>
    <t>pta, acka</t>
  </si>
  <si>
    <t>PTAr_f</t>
  </si>
  <si>
    <t>acea, aceb</t>
  </si>
  <si>
    <t>Nanchen 2006</t>
  </si>
  <si>
    <t>E. coli MG1655</t>
  </si>
  <si>
    <t>D [h-1]</t>
  </si>
  <si>
    <t>glucose consumption rate [mmol gdw-1 h-1]</t>
  </si>
  <si>
    <t>acetate production ratet  [mmol gdw-1 h-1]</t>
  </si>
  <si>
    <t>GLC + ATP -&gt; G6P</t>
  </si>
  <si>
    <t>HEX1</t>
  </si>
  <si>
    <t>G6P -&gt; 6PG + NADPH</t>
  </si>
  <si>
    <t>6PG -&gt; P5P + CO2 + NADPH</t>
  </si>
  <si>
    <t>G6P -&gt; F6P</t>
  </si>
  <si>
    <t>6PG -&gt; T3P + PYR</t>
  </si>
  <si>
    <t>F6P + ATP -&gt; 2T3P</t>
  </si>
  <si>
    <t>2P5P -&gt; S7P + T3P</t>
  </si>
  <si>
    <t>P5P + E4P -&gt; F6P + T3P</t>
  </si>
  <si>
    <t>S7P + T3P -&gt; E4P + F6P</t>
  </si>
  <si>
    <t>T3P -&gt; PGA + ATP + NADH</t>
  </si>
  <si>
    <t>PGA -&gt; PEP</t>
  </si>
  <si>
    <t>PEP -&gt; PYR + ATP</t>
  </si>
  <si>
    <t>PYK, PYK2, PYK3, PYK4, PYK6</t>
  </si>
  <si>
    <t>PYR -&gt; AcCoA + CO2 + NADH</t>
  </si>
  <si>
    <t>OAA + AcCoA -&gt; ICT</t>
  </si>
  <si>
    <t>ICT -&gt; OGA + CO2 + NADPH</t>
  </si>
  <si>
    <t>OGA -&gt; FUM + CO2 + 1.5*ATP + 2NADH</t>
  </si>
  <si>
    <t>FUM -&gt; MAL</t>
  </si>
  <si>
    <t>MAL -&gt; OAA + NADH</t>
  </si>
  <si>
    <t>MAL -&gt; PYR + CO2 + NADH</t>
  </si>
  <si>
    <t>OAA + ATP -&gt; PEP + CO2</t>
  </si>
  <si>
    <t>PEP + CO2 -&gt; OAA</t>
  </si>
  <si>
    <t>AcCoA -&gt; Acetate + ATP</t>
  </si>
  <si>
    <t>ACKr_b</t>
  </si>
  <si>
    <t>ICT + AcCoA -&gt; MAL + FUM + NADH</t>
  </si>
  <si>
    <t>MALS</t>
  </si>
  <si>
    <t>NADPH -&gt; NADH</t>
  </si>
  <si>
    <t>NADTRHD</t>
  </si>
  <si>
    <t>O2 + 2NADH -&gt; 2P/O x ATP</t>
  </si>
  <si>
    <t>Biomass</t>
  </si>
  <si>
    <t>Summary of selected points in metabolism</t>
  </si>
  <si>
    <t>Glucose metabolism</t>
  </si>
  <si>
    <t>Description</t>
  </si>
  <si>
    <t>Reaction identifier (iML1515)</t>
  </si>
  <si>
    <t>Reaction position (iML1515)</t>
  </si>
  <si>
    <t>Rijsewijk 2011</t>
  </si>
  <si>
    <t>Nanchen 2006 (0.085)</t>
  </si>
  <si>
    <t>Nanchen 2006 (0.187)</t>
  </si>
  <si>
    <t>Nanchen 2006 (0.286)</t>
  </si>
  <si>
    <t>Nanchen 2006 (0.399)</t>
  </si>
  <si>
    <t>Glucose uptake</t>
  </si>
  <si>
    <t>Growth rate</t>
  </si>
  <si>
    <t>Acetate secretion</t>
  </si>
  <si>
    <t>Upper EMP (pgi)</t>
  </si>
  <si>
    <t>Upper PPP (zwf)</t>
  </si>
  <si>
    <t>ED (eda)</t>
  </si>
  <si>
    <t>TCA (glta,can)</t>
  </si>
  <si>
    <t>GLX shunt (icl)</t>
  </si>
  <si>
    <t>Anaplerosis (ppc)</t>
  </si>
  <si>
    <t>Malic Enzyme 1 (NAD)</t>
  </si>
  <si>
    <t>ME1</t>
  </si>
  <si>
    <t>Malic Enzyme 2 (NADP)</t>
  </si>
  <si>
    <t>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</si>
</sst>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2" fontId="0" fillId="0" borderId="0" xfId="0" applyNumberFormat="1" applyAlignment="1">
      <alignment horizontal="center"/>
    </xf>
    <xf numFmtId="0" fontId="4" fillId="0" borderId="0" xfId="1" applyFont="1"/>
    <xf numFmtId="2" fontId="5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2" fontId="5" fillId="2" borderId="0" xfId="1" applyNumberFormat="1" applyFont="1" applyFill="1" applyAlignment="1">
      <alignment horizontal="center"/>
    </xf>
    <xf numFmtId="0" fontId="1" fillId="0" borderId="1" xfId="0" applyFont="1" applyBorder="1"/>
    <xf numFmtId="2" fontId="0" fillId="0" borderId="0" xfId="0" applyNumberFormat="1"/>
    <xf numFmtId="165" fontId="0" fillId="0" borderId="0" xfId="0" applyNumberFormat="1"/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Standard" xfId="0" builtinId="0"/>
    <cellStyle name="Standard 2" xfId="1" xr:uid="{4BBCFF84-59FB-43E3-96B7-7D6AA893D366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6719-13B3-4EF9-8D08-CD0CF17C4425}">
  <dimension ref="A1:A4"/>
  <sheetViews>
    <sheetView workbookViewId="0">
      <selection activeCell="C8" sqref="C8"/>
    </sheetView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04CF-9EA5-44AE-A63A-52415C9FD4F2}">
  <dimension ref="A1:M43"/>
  <sheetViews>
    <sheetView tabSelected="1" topLeftCell="A4" zoomScale="85" zoomScaleNormal="85" workbookViewId="0">
      <selection activeCell="K4" sqref="K1:K1048576"/>
    </sheetView>
  </sheetViews>
  <sheetFormatPr defaultColWidth="11.42578125" defaultRowHeight="15"/>
  <cols>
    <col min="2" max="12" width="18.7109375" style="1" customWidth="1"/>
    <col min="13" max="13" width="21.5703125" bestFit="1" customWidth="1"/>
  </cols>
  <sheetData>
    <row r="1" spans="1:13">
      <c r="A1" t="s">
        <v>4</v>
      </c>
    </row>
    <row r="2" spans="1:13">
      <c r="A2" t="s">
        <v>5</v>
      </c>
    </row>
    <row r="3" spans="1:13">
      <c r="A3" t="s">
        <v>6</v>
      </c>
    </row>
    <row r="6" spans="1:13"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</row>
    <row r="7" spans="1:13">
      <c r="B7" s="1" t="s">
        <v>19</v>
      </c>
      <c r="C7" s="1" t="s">
        <v>20</v>
      </c>
      <c r="E7" s="1">
        <v>13.584</v>
      </c>
      <c r="F7" s="1">
        <v>-3.3286596111111102</v>
      </c>
      <c r="G7" s="1">
        <v>-1.9689385124238106E-8</v>
      </c>
      <c r="H7" s="1">
        <v>-6.8270191799970208</v>
      </c>
      <c r="I7" s="1">
        <v>-0.59700026400360018</v>
      </c>
      <c r="J7" s="1">
        <v>-5.003982393638033</v>
      </c>
      <c r="K7" s="1">
        <v>-11.913909720011549</v>
      </c>
      <c r="L7" s="1">
        <v>-3.3209736799935405</v>
      </c>
      <c r="M7">
        <f>H7/$H$10</f>
        <v>-0.70716999999969143</v>
      </c>
    </row>
    <row r="8" spans="1:13">
      <c r="B8" s="1" t="s">
        <v>21</v>
      </c>
      <c r="C8" s="1" t="s">
        <v>22</v>
      </c>
      <c r="E8" s="1">
        <v>0</v>
      </c>
      <c r="F8" s="1">
        <v>8.3279999999999994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>
        <f t="shared" ref="M8:M42" si="0">H8/$H$10</f>
        <v>0</v>
      </c>
    </row>
    <row r="9" spans="1:13">
      <c r="B9" s="1" t="s">
        <v>23</v>
      </c>
      <c r="C9" s="1" t="s">
        <v>24</v>
      </c>
      <c r="E9" s="1">
        <v>0</v>
      </c>
      <c r="F9" s="1">
        <v>0</v>
      </c>
      <c r="G9" s="1">
        <v>1.9690000000000001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>
        <f t="shared" si="0"/>
        <v>0</v>
      </c>
    </row>
    <row r="10" spans="1:13">
      <c r="B10" s="1" t="s">
        <v>25</v>
      </c>
      <c r="C10" s="1" t="s">
        <v>26</v>
      </c>
      <c r="E10" s="1">
        <v>0</v>
      </c>
      <c r="F10" s="1">
        <v>0</v>
      </c>
      <c r="G10" s="1">
        <v>0</v>
      </c>
      <c r="H10" s="1">
        <v>9.6539999999999999</v>
      </c>
      <c r="I10" s="1">
        <v>0</v>
      </c>
      <c r="J10" s="1">
        <v>0</v>
      </c>
      <c r="K10" s="1">
        <v>0</v>
      </c>
      <c r="L10" s="1">
        <v>0</v>
      </c>
      <c r="M10">
        <f t="shared" si="0"/>
        <v>1</v>
      </c>
    </row>
    <row r="11" spans="1:13">
      <c r="B11" s="1" t="s">
        <v>27</v>
      </c>
      <c r="C11" s="1" t="s">
        <v>28</v>
      </c>
      <c r="E11" s="1">
        <v>0</v>
      </c>
      <c r="F11" s="1">
        <v>0</v>
      </c>
      <c r="G11" s="1">
        <v>0</v>
      </c>
      <c r="H11" s="1">
        <v>0</v>
      </c>
      <c r="I11" s="1">
        <v>4.9448336472065284</v>
      </c>
      <c r="J11" s="1">
        <v>0</v>
      </c>
      <c r="K11" s="1">
        <v>0</v>
      </c>
      <c r="L11" s="1">
        <v>0</v>
      </c>
      <c r="M11">
        <f t="shared" si="0"/>
        <v>0</v>
      </c>
    </row>
    <row r="12" spans="1:13">
      <c r="B12" s="1" t="s">
        <v>29</v>
      </c>
      <c r="C12" s="1" t="s">
        <v>30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7.2839231919521481</v>
      </c>
      <c r="K12" s="1">
        <v>0</v>
      </c>
      <c r="L12" s="1">
        <v>0</v>
      </c>
      <c r="M12">
        <f t="shared" si="0"/>
        <v>0</v>
      </c>
    </row>
    <row r="13" spans="1:13">
      <c r="B13" s="1" t="s">
        <v>31</v>
      </c>
      <c r="C13" s="1" t="s">
        <v>32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26.713999999999999</v>
      </c>
      <c r="L13" s="1">
        <v>0</v>
      </c>
      <c r="M13">
        <f t="shared" si="0"/>
        <v>0</v>
      </c>
    </row>
    <row r="14" spans="1:13">
      <c r="B14" s="1" t="s">
        <v>33</v>
      </c>
      <c r="C14" s="1" t="s">
        <v>34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15.901999999999999</v>
      </c>
      <c r="M14">
        <f t="shared" si="0"/>
        <v>0</v>
      </c>
    </row>
    <row r="15" spans="1:13">
      <c r="B15" s="1" t="s">
        <v>35</v>
      </c>
      <c r="E15" s="1">
        <v>1.3584251951476673E-7</v>
      </c>
      <c r="F15" s="1">
        <v>8.3274521035090145E-8</v>
      </c>
      <c r="G15" s="1">
        <v>1.9689464740126164E-8</v>
      </c>
      <c r="H15" s="1">
        <v>9.6537323200043831E-8</v>
      </c>
      <c r="I15" s="1">
        <v>1.0135684418181836E-7</v>
      </c>
      <c r="J15" s="1">
        <v>7.2836773343801359E-8</v>
      </c>
      <c r="K15" s="1">
        <v>0</v>
      </c>
      <c r="L15" s="1">
        <v>1.1399984779956418</v>
      </c>
      <c r="M15">
        <f t="shared" si="0"/>
        <v>9.9997227263355955E-9</v>
      </c>
    </row>
    <row r="16" spans="1:13">
      <c r="B16" s="1" t="s">
        <v>36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1.1570100539739245</v>
      </c>
      <c r="L16" s="1">
        <v>0</v>
      </c>
      <c r="M16">
        <f t="shared" si="0"/>
        <v>0</v>
      </c>
    </row>
    <row r="17" spans="2:13">
      <c r="B17" s="1" t="s">
        <v>37</v>
      </c>
      <c r="C17" s="1" t="s">
        <v>37</v>
      </c>
      <c r="D17" s="1" t="s">
        <v>38</v>
      </c>
      <c r="E17" s="1">
        <v>-3.42325540770599</v>
      </c>
      <c r="F17" s="1">
        <v>-6.1979323347651443</v>
      </c>
      <c r="G17" s="1">
        <v>1.3684855631159154</v>
      </c>
      <c r="H17" s="1">
        <v>5.6999703230689081</v>
      </c>
      <c r="I17" s="1">
        <v>-3.4494032742612961</v>
      </c>
      <c r="J17" s="1">
        <v>-3.1320942560270432E-2</v>
      </c>
      <c r="K17" s="1">
        <v>-0.89817280811541789</v>
      </c>
      <c r="L17" s="1">
        <v>-5.5903190205965458</v>
      </c>
      <c r="M17">
        <f t="shared" si="0"/>
        <v>0.5904257637320186</v>
      </c>
    </row>
    <row r="18" spans="2:13">
      <c r="B18" s="1" t="s">
        <v>39</v>
      </c>
      <c r="C18" s="1" t="s">
        <v>40</v>
      </c>
      <c r="E18" s="1">
        <v>-1.886235167684545</v>
      </c>
      <c r="F18" s="1">
        <v>-2.4610022454817688</v>
      </c>
      <c r="G18" s="1">
        <v>1.5474503004641309</v>
      </c>
      <c r="H18" s="1">
        <v>7.0584770012810187</v>
      </c>
      <c r="I18" s="1">
        <v>-1.5</v>
      </c>
      <c r="J18" s="1">
        <v>0.48691922652975195</v>
      </c>
      <c r="K18" s="1">
        <v>-0.58701167113991148</v>
      </c>
      <c r="L18" s="1">
        <v>-2.6916049957257346</v>
      </c>
      <c r="M18">
        <f t="shared" si="0"/>
        <v>0.73114532849399405</v>
      </c>
    </row>
    <row r="19" spans="2:13">
      <c r="B19" s="1" t="s">
        <v>41</v>
      </c>
      <c r="C19" s="1" t="s">
        <v>41</v>
      </c>
      <c r="D19" s="1" t="s">
        <v>38</v>
      </c>
      <c r="E19" s="1">
        <v>-1.8862351676829718</v>
      </c>
      <c r="F19" s="1">
        <v>5.8669977545199252</v>
      </c>
      <c r="G19" s="1">
        <v>1.5474503004639955</v>
      </c>
      <c r="H19" s="1">
        <v>7.0584770012805373</v>
      </c>
      <c r="I19" s="1">
        <v>-1.4956986602582492</v>
      </c>
      <c r="J19" s="1">
        <v>0.4869192265342796</v>
      </c>
      <c r="K19" s="1">
        <v>-0.58701167116697217</v>
      </c>
      <c r="L19" s="1">
        <v>-2.6916049957269208</v>
      </c>
      <c r="M19">
        <f t="shared" si="0"/>
        <v>0.7311453284939442</v>
      </c>
    </row>
    <row r="20" spans="2:13">
      <c r="B20" s="1" t="s">
        <v>42</v>
      </c>
      <c r="C20" s="1" t="s">
        <v>42</v>
      </c>
      <c r="D20" s="1" t="s">
        <v>38</v>
      </c>
      <c r="E20" s="1">
        <v>-1.8862351676675366</v>
      </c>
      <c r="F20" s="1">
        <v>5.8669977545186693</v>
      </c>
      <c r="G20" s="1">
        <v>1.54745030046383</v>
      </c>
      <c r="H20" s="1">
        <v>7.0584770012799991</v>
      </c>
      <c r="I20" s="1">
        <v>8.6403013397407182</v>
      </c>
      <c r="J20" s="1">
        <v>0.48691922652225406</v>
      </c>
      <c r="K20" s="1">
        <v>-0.58701167113177999</v>
      </c>
      <c r="L20" s="1">
        <v>-2.691604995744147</v>
      </c>
      <c r="M20">
        <f t="shared" si="0"/>
        <v>0.73114532849388847</v>
      </c>
    </row>
    <row r="21" spans="2:13">
      <c r="B21" s="1" t="s">
        <v>43</v>
      </c>
      <c r="E21" s="1">
        <v>-2.263870367666462</v>
      </c>
      <c r="F21" s="1">
        <v>13.464632154516496</v>
      </c>
      <c r="G21" s="1">
        <v>3.3085239004662395</v>
      </c>
      <c r="H21" s="1">
        <v>15.71039180129149</v>
      </c>
      <c r="I21" s="1">
        <v>8.0128829397295149</v>
      </c>
      <c r="J21" s="1">
        <v>6.8945864585034897</v>
      </c>
      <c r="K21" s="1">
        <v>-1.1293058711585884</v>
      </c>
      <c r="L21" s="1">
        <v>-3.4151459957639814</v>
      </c>
      <c r="M21">
        <f t="shared" si="0"/>
        <v>1.6273453284950787</v>
      </c>
    </row>
    <row r="22" spans="2:13">
      <c r="B22" s="1" t="s">
        <v>44</v>
      </c>
      <c r="E22" s="1">
        <v>-2.7365935676724247</v>
      </c>
      <c r="F22" s="1">
        <v>12.598520154512068</v>
      </c>
      <c r="G22" s="1">
        <v>3.0415275004657847</v>
      </c>
      <c r="H22" s="1">
        <v>14.557704201289363</v>
      </c>
      <c r="I22" s="1">
        <v>7.2587645397273617</v>
      </c>
      <c r="J22" s="1">
        <v>5.8733804269828616</v>
      </c>
      <c r="K22" s="1">
        <v>-1.7891416711547217</v>
      </c>
      <c r="L22" s="1">
        <v>-4.2738539957672028</v>
      </c>
      <c r="M22">
        <f t="shared" si="0"/>
        <v>1.5079453284948585</v>
      </c>
    </row>
    <row r="23" spans="2:13">
      <c r="B23" s="1" t="s">
        <v>45</v>
      </c>
      <c r="C23" s="1" t="s">
        <v>46</v>
      </c>
      <c r="E23" s="1">
        <v>-1.65319540547002</v>
      </c>
      <c r="F23" s="1">
        <v>0.66903724054698976</v>
      </c>
      <c r="G23" s="1">
        <v>3.3573427935610392</v>
      </c>
      <c r="H23" s="1">
        <v>2.4873080978376993</v>
      </c>
      <c r="I23" s="1">
        <v>5.507263841087922</v>
      </c>
      <c r="J23" s="1">
        <v>3.4645871723459716</v>
      </c>
      <c r="K23" s="1">
        <v>-3.4503841340338659</v>
      </c>
      <c r="L23" s="1">
        <v>-3.73003729455362</v>
      </c>
      <c r="M23">
        <f t="shared" si="0"/>
        <v>0.25764533849572191</v>
      </c>
    </row>
    <row r="24" spans="2:13">
      <c r="B24" s="1" t="s">
        <v>47</v>
      </c>
      <c r="C24" s="1" t="s">
        <v>47</v>
      </c>
      <c r="E24" s="1">
        <v>6.5462657153820367E-2</v>
      </c>
      <c r="F24" s="1">
        <v>9.0688256303685417</v>
      </c>
      <c r="G24" s="1">
        <v>2.9426983501446968</v>
      </c>
      <c r="H24" s="1">
        <v>11.298464268808241</v>
      </c>
      <c r="I24" s="1">
        <v>4.0977358912647155</v>
      </c>
      <c r="J24" s="1">
        <v>7.5055419652313553</v>
      </c>
      <c r="K24" s="1">
        <v>21.017394241558701</v>
      </c>
      <c r="L24" s="1">
        <v>7.7520818583165525</v>
      </c>
      <c r="M24">
        <f t="shared" si="0"/>
        <v>1.1703401977220054</v>
      </c>
    </row>
    <row r="25" spans="2:13">
      <c r="B25" s="1" t="s">
        <v>48</v>
      </c>
      <c r="C25" s="1" t="s">
        <v>49</v>
      </c>
      <c r="E25" s="1">
        <v>0.82159384767751975</v>
      </c>
      <c r="F25" s="1">
        <v>8.328065533902417E-10</v>
      </c>
      <c r="G25" s="1">
        <v>0.17297213086502874</v>
      </c>
      <c r="H25" s="1">
        <v>1.0869910596271795</v>
      </c>
      <c r="I25" s="1">
        <v>1.4580353245472539E-2</v>
      </c>
      <c r="J25" s="1">
        <v>5.8189606618198377</v>
      </c>
      <c r="K25" s="1">
        <v>2.6714245884544848E-9</v>
      </c>
      <c r="L25" s="1">
        <v>0.65546418328911304</v>
      </c>
      <c r="M25">
        <f t="shared" si="0"/>
        <v>0.11259488912649467</v>
      </c>
    </row>
    <row r="26" spans="2:13">
      <c r="B26" s="1" t="s">
        <v>50</v>
      </c>
      <c r="E26" s="1">
        <v>3.4083130077194776</v>
      </c>
      <c r="F26" s="1">
        <v>6.171282734761359</v>
      </c>
      <c r="G26" s="1">
        <v>0.591653936883625</v>
      </c>
      <c r="H26" s="1">
        <v>3.9192752769285661</v>
      </c>
      <c r="I26" s="1">
        <v>3.4260904742569434</v>
      </c>
      <c r="J26" s="1">
        <v>0</v>
      </c>
      <c r="K26" s="1">
        <v>0.87680160813466335</v>
      </c>
      <c r="L26" s="1">
        <v>5.5632856205805385</v>
      </c>
      <c r="M26">
        <f t="shared" si="0"/>
        <v>0.40597423626771972</v>
      </c>
    </row>
    <row r="27" spans="2:13">
      <c r="B27" s="1" t="s">
        <v>51</v>
      </c>
      <c r="E27" s="1">
        <v>2.5867191600419579</v>
      </c>
      <c r="F27" s="1">
        <v>6.1712827339285523</v>
      </c>
      <c r="G27" s="1">
        <v>0.41868180601859623</v>
      </c>
      <c r="H27" s="1">
        <v>2.8322842173013867</v>
      </c>
      <c r="I27" s="1">
        <v>3.4115101210114709</v>
      </c>
      <c r="J27" s="1">
        <v>1.4649626029673033</v>
      </c>
      <c r="K27" s="1">
        <v>0.87680160546323871</v>
      </c>
      <c r="L27" s="1">
        <v>4.9078214372914255</v>
      </c>
      <c r="M27">
        <f t="shared" si="0"/>
        <v>0.29337934714122504</v>
      </c>
    </row>
    <row r="28" spans="2:13">
      <c r="B28" s="1" t="s">
        <v>52</v>
      </c>
      <c r="C28" s="1" t="s">
        <v>52</v>
      </c>
      <c r="D28" s="1" t="s">
        <v>38</v>
      </c>
      <c r="E28" s="1">
        <v>1.02932292002225</v>
      </c>
      <c r="F28" s="1">
        <v>2.3985422446488398</v>
      </c>
      <c r="G28" s="1">
        <v>0.227903068671968</v>
      </c>
      <c r="H28" s="1">
        <v>1.4274383390966501</v>
      </c>
      <c r="I28" s="1">
        <v>1.4263839070008699</v>
      </c>
      <c r="J28" s="1">
        <v>0.90520407168297001</v>
      </c>
      <c r="K28" s="1">
        <v>0.538926468476706</v>
      </c>
      <c r="L28" s="1">
        <v>1.9741230124264399</v>
      </c>
      <c r="M28">
        <f t="shared" si="0"/>
        <v>0.14785978238001349</v>
      </c>
    </row>
    <row r="29" spans="2:13">
      <c r="B29" s="1" t="s">
        <v>53</v>
      </c>
      <c r="C29" s="1" t="s">
        <v>53</v>
      </c>
      <c r="D29" s="1" t="s">
        <v>38</v>
      </c>
      <c r="E29" s="1">
        <v>1.5573962400197114</v>
      </c>
      <c r="F29" s="1">
        <v>3.7727404892797152</v>
      </c>
      <c r="G29" s="1">
        <v>0.19077873734662801</v>
      </c>
      <c r="H29" s="1">
        <v>1.4048458782047375</v>
      </c>
      <c r="I29" s="1">
        <v>1.9851262140106052</v>
      </c>
      <c r="J29" s="1">
        <v>0.55975853128433373</v>
      </c>
      <c r="K29" s="1">
        <v>0.33787513698653238</v>
      </c>
      <c r="L29" s="1">
        <v>2.933698424864982</v>
      </c>
      <c r="M29">
        <f t="shared" si="0"/>
        <v>0.14551956476121167</v>
      </c>
    </row>
    <row r="30" spans="2:13">
      <c r="B30" s="1" t="s">
        <v>54</v>
      </c>
      <c r="E30" s="1">
        <v>0.83914692001272317</v>
      </c>
      <c r="F30" s="1">
        <v>1.9838078446424345</v>
      </c>
      <c r="G30" s="1">
        <v>0.13220966867360662</v>
      </c>
      <c r="H30" s="1">
        <v>0.82020173910364169</v>
      </c>
      <c r="I30" s="1">
        <v>1.0807463070055789</v>
      </c>
      <c r="J30" s="1">
        <v>0.38877391735260175</v>
      </c>
      <c r="K30" s="1">
        <v>0.24774386849876848</v>
      </c>
      <c r="L30" s="1">
        <v>1.5638514124313765</v>
      </c>
      <c r="M30">
        <f t="shared" si="0"/>
        <v>8.4959782380737689E-2</v>
      </c>
    </row>
    <row r="31" spans="2:13">
      <c r="B31" s="1" t="s">
        <v>55</v>
      </c>
      <c r="C31" s="1" t="s">
        <v>55</v>
      </c>
      <c r="D31" s="1" t="s">
        <v>38</v>
      </c>
      <c r="E31" s="1">
        <v>0.71824932000698838</v>
      </c>
      <c r="F31" s="1">
        <v>1.7889326446372806</v>
      </c>
      <c r="G31" s="1">
        <v>5.8569068673021397E-2</v>
      </c>
      <c r="H31" s="1">
        <v>0.58464413910109581</v>
      </c>
      <c r="I31" s="1">
        <v>0.90437990700502624</v>
      </c>
      <c r="J31" s="1">
        <v>0.17098461393173195</v>
      </c>
      <c r="K31" s="1">
        <v>9.0131268487763899E-2</v>
      </c>
      <c r="L31" s="1">
        <v>1.3698470124336055</v>
      </c>
      <c r="M31">
        <f t="shared" si="0"/>
        <v>6.0559782380473978E-2</v>
      </c>
    </row>
    <row r="32" spans="2:13">
      <c r="B32" s="1" t="s">
        <v>56</v>
      </c>
      <c r="C32" s="1" t="s">
        <v>56</v>
      </c>
      <c r="E32" s="1">
        <v>1.7741454869694078</v>
      </c>
      <c r="F32" s="1">
        <v>3.5456688226773463</v>
      </c>
      <c r="G32" s="1">
        <v>0.37738628238056948</v>
      </c>
      <c r="H32" s="1">
        <v>2.4533313292498868</v>
      </c>
      <c r="I32" s="1">
        <v>1.3764685982953651</v>
      </c>
      <c r="J32" s="1">
        <v>1.9433504905565535</v>
      </c>
      <c r="K32" s="1">
        <v>2.4894485851232981</v>
      </c>
      <c r="L32" s="1">
        <v>2.0161101985201491</v>
      </c>
      <c r="M32">
        <f t="shared" si="0"/>
        <v>0.25412588867307717</v>
      </c>
    </row>
    <row r="33" spans="2:13">
      <c r="B33" s="1" t="s">
        <v>57</v>
      </c>
      <c r="C33" s="1" t="s">
        <v>57</v>
      </c>
      <c r="E33" s="1">
        <v>3.1142812491662482</v>
      </c>
      <c r="F33" s="1">
        <v>0.35892030869477298</v>
      </c>
      <c r="G33" s="1">
        <v>0.84894947547500432</v>
      </c>
      <c r="H33" s="1">
        <v>0.54087402579424204</v>
      </c>
      <c r="I33" s="1">
        <v>-1.0035180104762341E-7</v>
      </c>
      <c r="J33" s="1">
        <v>-7.2110808210338247E-8</v>
      </c>
      <c r="K33" s="1">
        <v>1.1648025222064504</v>
      </c>
      <c r="L33" s="1">
        <v>2.9717886997229046</v>
      </c>
      <c r="M33">
        <f t="shared" si="0"/>
        <v>5.6025898673528286E-2</v>
      </c>
    </row>
    <row r="34" spans="2:13">
      <c r="B34" s="1" t="s">
        <v>58</v>
      </c>
      <c r="E34" s="1">
        <v>8.8340190724755363</v>
      </c>
      <c r="F34" s="1">
        <v>4.5683292688166892</v>
      </c>
      <c r="G34" s="1">
        <v>1.5209626722625027</v>
      </c>
      <c r="H34" s="1">
        <v>2.9779712878442943</v>
      </c>
      <c r="I34" s="1">
        <v>2.4648364262557534</v>
      </c>
      <c r="J34" s="1">
        <v>1.1540337082429524</v>
      </c>
      <c r="K34" s="1">
        <v>8.0819214904071845</v>
      </c>
      <c r="L34" s="1">
        <v>3.1554008705398973</v>
      </c>
      <c r="M34">
        <f t="shared" si="0"/>
        <v>0.30847019762215605</v>
      </c>
    </row>
    <row r="35" spans="2:13">
      <c r="B35" s="1" t="s">
        <v>59</v>
      </c>
      <c r="C35" s="1" t="s">
        <v>60</v>
      </c>
      <c r="D35" s="1" t="s">
        <v>38</v>
      </c>
      <c r="E35" s="1">
        <v>4.6964172236516468</v>
      </c>
      <c r="F35" s="1">
        <v>4.5661188272567212</v>
      </c>
      <c r="G35" s="1">
        <v>0.49617741406965626</v>
      </c>
      <c r="H35" s="1">
        <v>2.9779712868775738</v>
      </c>
      <c r="I35" s="1">
        <v>2.4648364252268391</v>
      </c>
      <c r="J35" s="1">
        <v>1.1540336354134588</v>
      </c>
      <c r="K35" s="1">
        <v>7.9793200592251843</v>
      </c>
      <c r="L35" s="1">
        <v>3.038949362757799</v>
      </c>
      <c r="M35">
        <f t="shared" si="0"/>
        <v>0.30847019752201926</v>
      </c>
    </row>
    <row r="36" spans="2:13">
      <c r="B36" s="1" t="s">
        <v>61</v>
      </c>
      <c r="E36" s="1">
        <v>4.2671628236487056</v>
      </c>
      <c r="F36" s="1">
        <v>3.8748948272683545</v>
      </c>
      <c r="G36" s="1">
        <v>0.2360725140695101</v>
      </c>
      <c r="H36" s="1">
        <v>2.1380732868771095</v>
      </c>
      <c r="I36" s="1">
        <v>1.8404588252331306</v>
      </c>
      <c r="J36" s="1">
        <v>0.18235828160756301</v>
      </c>
      <c r="K36" s="1">
        <v>7.4156546592494177</v>
      </c>
      <c r="L36" s="1">
        <v>2.351982962752786</v>
      </c>
      <c r="M36">
        <f t="shared" si="0"/>
        <v>0.22147019752197117</v>
      </c>
    </row>
    <row r="37" spans="2:13">
      <c r="B37" s="1" t="s">
        <v>62</v>
      </c>
      <c r="C37" s="1" t="s">
        <v>63</v>
      </c>
      <c r="E37" s="1">
        <v>8.4047646724750251</v>
      </c>
      <c r="F37" s="1">
        <v>3.8771052688168854</v>
      </c>
      <c r="G37" s="1">
        <v>1.2608577722632659</v>
      </c>
      <c r="H37" s="1">
        <v>2.1380732878481599</v>
      </c>
      <c r="I37" s="1">
        <v>1.8404588262522221</v>
      </c>
      <c r="J37" s="1">
        <v>0.18235835444068499</v>
      </c>
      <c r="K37" s="1">
        <v>7.5182560904059086</v>
      </c>
      <c r="L37" s="1">
        <v>18.370434470519445</v>
      </c>
      <c r="M37">
        <f t="shared" si="0"/>
        <v>0.22147019762255643</v>
      </c>
    </row>
    <row r="38" spans="2:13">
      <c r="B38" s="1" t="s">
        <v>64</v>
      </c>
      <c r="C38" s="1" t="s">
        <v>65</v>
      </c>
      <c r="E38" s="1">
        <v>8.4047646724750251</v>
      </c>
      <c r="F38" s="1">
        <v>3.8771052688168854</v>
      </c>
      <c r="G38" s="1">
        <v>1.2608577722632659</v>
      </c>
      <c r="H38" s="1">
        <v>2.1380732878481599</v>
      </c>
      <c r="I38" s="1">
        <v>1.8404588262522221</v>
      </c>
      <c r="J38" s="1">
        <v>0.18235835444068499</v>
      </c>
      <c r="K38" s="1">
        <v>7.5182560904059086</v>
      </c>
      <c r="L38" s="1">
        <v>17.230435992523802</v>
      </c>
      <c r="M38">
        <f t="shared" si="0"/>
        <v>0.22147019762255643</v>
      </c>
    </row>
    <row r="39" spans="2:13">
      <c r="B39" s="1" t="s">
        <v>66</v>
      </c>
      <c r="C39" s="1" t="s">
        <v>67</v>
      </c>
      <c r="D39" s="1" t="s">
        <v>68</v>
      </c>
      <c r="E39" s="1">
        <v>10.6713</v>
      </c>
      <c r="F39" s="1">
        <v>2.2277055548415685</v>
      </c>
      <c r="G39" s="1">
        <v>2.2851192653570886</v>
      </c>
      <c r="H39" s="1">
        <v>2.1380733843895072</v>
      </c>
      <c r="I39" s="1">
        <v>1.8404589276110057</v>
      </c>
      <c r="J39" s="1">
        <v>0.18235849938993823</v>
      </c>
      <c r="K39" s="1">
        <v>7.4277968274918553</v>
      </c>
      <c r="L39" s="1">
        <v>4.9507049717508087</v>
      </c>
      <c r="M39">
        <f t="shared" si="0"/>
        <v>0.22147020762269601</v>
      </c>
    </row>
    <row r="40" spans="2:13">
      <c r="B40" s="1" t="s">
        <v>69</v>
      </c>
      <c r="C40" s="1" t="s">
        <v>70</v>
      </c>
      <c r="E40" s="1">
        <v>1.8710372866359211</v>
      </c>
      <c r="F40" s="1">
        <v>1.6516101555292406</v>
      </c>
      <c r="G40" s="1">
        <v>5.2376509948865683E-4</v>
      </c>
      <c r="H40" s="1">
        <v>-9.5572424662608748E-8</v>
      </c>
      <c r="I40" s="1">
        <v>-1.0034625377101327E-7</v>
      </c>
      <c r="J40" s="1">
        <v>-7.2105837547582569E-8</v>
      </c>
      <c r="K40" s="1">
        <v>0.19306069405971413</v>
      </c>
      <c r="L40" s="1">
        <v>12.396182528590991</v>
      </c>
      <c r="M40">
        <f t="shared" si="0"/>
        <v>-9.8997746698372431E-9</v>
      </c>
    </row>
    <row r="41" spans="2:13">
      <c r="B41" s="1" t="s">
        <v>71</v>
      </c>
      <c r="C41" s="1" t="s">
        <v>72</v>
      </c>
      <c r="E41" s="1">
        <v>4.1376018488297266</v>
      </c>
      <c r="F41" s="1">
        <v>2.2104415511857377E-3</v>
      </c>
      <c r="G41" s="1">
        <v>1.024785258192576</v>
      </c>
      <c r="H41" s="1">
        <v>9.6540383835552745E-10</v>
      </c>
      <c r="I41" s="1">
        <v>1.0136062348760075E-9</v>
      </c>
      <c r="J41" s="1">
        <v>7.2840013418759831E-8</v>
      </c>
      <c r="K41" s="1">
        <v>0.10260143116238521</v>
      </c>
      <c r="L41" s="1">
        <v>0.11645150778647861</v>
      </c>
      <c r="M41">
        <f t="shared" si="0"/>
        <v>1.0000039759224441E-10</v>
      </c>
    </row>
    <row r="42" spans="2:13">
      <c r="B42" s="1" t="s">
        <v>73</v>
      </c>
      <c r="C42" s="1" t="s">
        <v>74</v>
      </c>
      <c r="E42" s="1">
        <v>0.28999999999999998</v>
      </c>
      <c r="F42" s="1">
        <v>0.49239999999999995</v>
      </c>
      <c r="G42" s="1">
        <v>0.18</v>
      </c>
      <c r="H42" s="1">
        <v>0.65</v>
      </c>
      <c r="I42" s="1">
        <v>0.49</v>
      </c>
      <c r="J42" s="1">
        <v>0.59</v>
      </c>
      <c r="K42" s="1">
        <v>0.39</v>
      </c>
      <c r="L42" s="1">
        <v>0.51</v>
      </c>
      <c r="M42">
        <f t="shared" si="0"/>
        <v>6.7329604309094682E-2</v>
      </c>
    </row>
    <row r="43" spans="2:13">
      <c r="B43" s="1" t="s">
        <v>75</v>
      </c>
      <c r="H43" s="1">
        <f>H42/(H10*0.1802)</f>
        <v>0.37363820371306705</v>
      </c>
    </row>
  </sheetData>
  <conditionalFormatting sqref="E7:M42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05BA-9CF9-4A9C-843F-3BCBF34F8938}">
  <dimension ref="A1:F33"/>
  <sheetViews>
    <sheetView topLeftCell="A4" workbookViewId="0">
      <selection activeCell="I18" sqref="I18"/>
    </sheetView>
  </sheetViews>
  <sheetFormatPr defaultColWidth="11.42578125" defaultRowHeight="15"/>
  <cols>
    <col min="2" max="5" width="24" style="1" customWidth="1"/>
    <col min="6" max="6" width="16.7109375" style="1" customWidth="1"/>
  </cols>
  <sheetData>
    <row r="1" spans="1:6">
      <c r="A1" t="s">
        <v>76</v>
      </c>
    </row>
    <row r="2" spans="1:6">
      <c r="A2" t="s">
        <v>77</v>
      </c>
    </row>
    <row r="3" spans="1:6">
      <c r="A3" t="s">
        <v>6</v>
      </c>
    </row>
    <row r="6" spans="1:6">
      <c r="B6" s="2" t="s">
        <v>7</v>
      </c>
      <c r="C6" s="2" t="s">
        <v>8</v>
      </c>
      <c r="D6" s="2" t="s">
        <v>13</v>
      </c>
      <c r="E6" s="2" t="s">
        <v>78</v>
      </c>
      <c r="F6" s="2" t="s">
        <v>79</v>
      </c>
    </row>
    <row r="7" spans="1:6">
      <c r="B7" s="4" t="s">
        <v>75</v>
      </c>
      <c r="D7" s="14">
        <v>0.4</v>
      </c>
      <c r="E7" s="14">
        <v>0.4</v>
      </c>
      <c r="F7" s="6">
        <f>AVERAGE(D7:E7)</f>
        <v>0.4</v>
      </c>
    </row>
    <row r="8" spans="1:6" ht="30">
      <c r="B8" s="5" t="s">
        <v>80</v>
      </c>
      <c r="C8" s="1" t="s">
        <v>26</v>
      </c>
      <c r="D8" s="14">
        <v>8.26</v>
      </c>
      <c r="E8" s="14">
        <v>8.26</v>
      </c>
      <c r="F8" s="6">
        <f t="shared" ref="F8:F33" si="0">AVERAGE(D8:E8)</f>
        <v>8.26</v>
      </c>
    </row>
    <row r="9" spans="1:6">
      <c r="B9" s="5" t="s">
        <v>81</v>
      </c>
      <c r="C9" s="1" t="s">
        <v>74</v>
      </c>
      <c r="D9" s="14">
        <v>0.61</v>
      </c>
      <c r="E9" s="14">
        <v>0.61</v>
      </c>
      <c r="F9" s="6">
        <f t="shared" si="0"/>
        <v>0.61</v>
      </c>
    </row>
    <row r="10" spans="1:6" ht="30">
      <c r="B10" s="5" t="s">
        <v>82</v>
      </c>
      <c r="C10" s="1" t="s">
        <v>83</v>
      </c>
      <c r="D10" s="14">
        <v>4.8899999999999997</v>
      </c>
      <c r="E10" s="14">
        <v>4.8899999999999997</v>
      </c>
      <c r="F10" s="6">
        <f t="shared" si="0"/>
        <v>4.8899999999999997</v>
      </c>
    </row>
    <row r="11" spans="1:6">
      <c r="B11" s="4" t="s">
        <v>84</v>
      </c>
      <c r="C11" s="1" t="s">
        <v>85</v>
      </c>
      <c r="D11" s="14">
        <v>8.1300000000000008</v>
      </c>
      <c r="E11" s="14">
        <v>8.1300000000000008</v>
      </c>
      <c r="F11" s="6">
        <f t="shared" si="0"/>
        <v>8.1300000000000008</v>
      </c>
    </row>
    <row r="12" spans="1:6">
      <c r="B12" s="4" t="s">
        <v>86</v>
      </c>
      <c r="C12" s="1" t="s">
        <v>87</v>
      </c>
      <c r="D12" s="14">
        <v>2.39</v>
      </c>
      <c r="E12" s="14">
        <v>2.19</v>
      </c>
      <c r="F12" s="6">
        <f t="shared" si="0"/>
        <v>2.29</v>
      </c>
    </row>
    <row r="13" spans="1:6">
      <c r="B13" s="4" t="s">
        <v>88</v>
      </c>
      <c r="C13" s="1" t="s">
        <v>89</v>
      </c>
      <c r="D13" s="14">
        <v>1.65</v>
      </c>
      <c r="E13" s="14">
        <v>1.4</v>
      </c>
      <c r="F13" s="6">
        <f t="shared" si="0"/>
        <v>1.5249999999999999</v>
      </c>
    </row>
    <row r="14" spans="1:6">
      <c r="B14" s="4" t="s">
        <v>90</v>
      </c>
      <c r="C14" s="1" t="s">
        <v>91</v>
      </c>
      <c r="D14" s="14">
        <v>5.71</v>
      </c>
      <c r="E14" s="14">
        <v>5.91</v>
      </c>
      <c r="F14" s="6">
        <f t="shared" si="0"/>
        <v>5.8100000000000005</v>
      </c>
    </row>
    <row r="15" spans="1:6">
      <c r="B15" s="4" t="s">
        <v>92</v>
      </c>
      <c r="C15" s="1" t="s">
        <v>49</v>
      </c>
      <c r="D15" s="14">
        <v>0.74</v>
      </c>
      <c r="E15" s="14">
        <v>0.79</v>
      </c>
      <c r="F15" s="6">
        <f t="shared" si="0"/>
        <v>0.76500000000000001</v>
      </c>
    </row>
    <row r="16" spans="1:6">
      <c r="B16" s="4" t="s">
        <v>93</v>
      </c>
      <c r="C16" s="1" t="s">
        <v>94</v>
      </c>
      <c r="D16" s="14">
        <v>6.46</v>
      </c>
      <c r="E16" s="14">
        <v>6.49</v>
      </c>
      <c r="F16" s="6">
        <f t="shared" si="0"/>
        <v>6.4749999999999996</v>
      </c>
    </row>
    <row r="17" spans="2:6">
      <c r="B17" s="4" t="s">
        <v>95</v>
      </c>
      <c r="C17" s="1" t="s">
        <v>96</v>
      </c>
      <c r="D17" s="14">
        <v>0.53</v>
      </c>
      <c r="E17" s="14">
        <v>0.44</v>
      </c>
      <c r="F17" s="6">
        <f t="shared" si="0"/>
        <v>0.48499999999999999</v>
      </c>
    </row>
    <row r="18" spans="2:6">
      <c r="B18" s="4" t="s">
        <v>97</v>
      </c>
      <c r="C18" s="1" t="s">
        <v>98</v>
      </c>
      <c r="D18" s="14">
        <v>0.27</v>
      </c>
      <c r="E18" s="14">
        <v>0.19</v>
      </c>
      <c r="F18" s="6">
        <f t="shared" si="0"/>
        <v>0.23</v>
      </c>
    </row>
    <row r="19" spans="2:6">
      <c r="B19" s="4" t="s">
        <v>99</v>
      </c>
      <c r="C19" s="1" t="s">
        <v>100</v>
      </c>
      <c r="D19" s="14">
        <v>0.53</v>
      </c>
      <c r="E19" s="14">
        <v>0.44</v>
      </c>
      <c r="F19" s="6">
        <f t="shared" si="0"/>
        <v>0.48499999999999999</v>
      </c>
    </row>
    <row r="20" spans="2:6">
      <c r="B20" s="4" t="s">
        <v>101</v>
      </c>
      <c r="C20" s="1" t="s">
        <v>102</v>
      </c>
      <c r="D20" s="14">
        <v>13.87</v>
      </c>
      <c r="E20" s="14">
        <v>13.89</v>
      </c>
      <c r="F20" s="6">
        <f t="shared" si="0"/>
        <v>13.879999999999999</v>
      </c>
    </row>
    <row r="21" spans="2:6">
      <c r="B21" s="4" t="s">
        <v>103</v>
      </c>
      <c r="C21" s="1" t="s">
        <v>104</v>
      </c>
      <c r="D21" s="14">
        <v>12.94</v>
      </c>
      <c r="E21" s="14">
        <v>12.97</v>
      </c>
      <c r="F21" s="6">
        <f t="shared" si="0"/>
        <v>12.955</v>
      </c>
    </row>
    <row r="22" spans="2:6">
      <c r="B22" s="4" t="s">
        <v>105</v>
      </c>
      <c r="C22" s="1" t="s">
        <v>46</v>
      </c>
      <c r="D22" s="14">
        <v>9.99</v>
      </c>
      <c r="E22" s="14">
        <v>9.91</v>
      </c>
      <c r="F22" s="6">
        <f t="shared" si="0"/>
        <v>9.9499999999999993</v>
      </c>
    </row>
    <row r="23" spans="2:6">
      <c r="B23" s="4" t="s">
        <v>106</v>
      </c>
      <c r="C23" s="1" t="s">
        <v>47</v>
      </c>
      <c r="D23" s="14">
        <v>9.14</v>
      </c>
      <c r="E23" s="14">
        <v>9.2100000000000009</v>
      </c>
      <c r="F23" s="6">
        <f t="shared" si="0"/>
        <v>9.1750000000000007</v>
      </c>
    </row>
    <row r="24" spans="2:6">
      <c r="B24" s="4" t="s">
        <v>107</v>
      </c>
      <c r="C24" s="1" t="s">
        <v>108</v>
      </c>
      <c r="D24" s="14">
        <v>2.2000000000000002</v>
      </c>
      <c r="E24" s="14">
        <v>2.29</v>
      </c>
      <c r="F24" s="6">
        <f t="shared" si="0"/>
        <v>2.2450000000000001</v>
      </c>
    </row>
    <row r="25" spans="2:6">
      <c r="B25" s="4" t="s">
        <v>109</v>
      </c>
      <c r="C25" s="1" t="s">
        <v>110</v>
      </c>
      <c r="D25" s="14">
        <v>2.2000000000000002</v>
      </c>
      <c r="E25" s="14">
        <v>2.29</v>
      </c>
      <c r="F25" s="6">
        <f t="shared" si="0"/>
        <v>2.2450000000000001</v>
      </c>
    </row>
    <row r="26" spans="2:6">
      <c r="B26" s="4" t="s">
        <v>111</v>
      </c>
      <c r="C26" s="1" t="s">
        <v>63</v>
      </c>
      <c r="D26" s="14">
        <v>1.29</v>
      </c>
      <c r="E26" s="14">
        <v>1.38</v>
      </c>
      <c r="F26" s="6">
        <f t="shared" si="0"/>
        <v>1.335</v>
      </c>
    </row>
    <row r="27" spans="2:6">
      <c r="B27" s="4" t="s">
        <v>112</v>
      </c>
      <c r="C27" s="1" t="s">
        <v>113</v>
      </c>
      <c r="D27" s="14">
        <v>1.29</v>
      </c>
      <c r="E27" s="14">
        <v>1.38</v>
      </c>
      <c r="F27" s="6">
        <f t="shared" si="0"/>
        <v>1.335</v>
      </c>
    </row>
    <row r="28" spans="2:6">
      <c r="B28" s="4" t="s">
        <v>114</v>
      </c>
      <c r="C28" s="1" t="s">
        <v>115</v>
      </c>
      <c r="D28" s="14">
        <v>0.81</v>
      </c>
      <c r="E28" s="14">
        <v>0.79</v>
      </c>
      <c r="F28" s="6">
        <f t="shared" si="0"/>
        <v>0.8</v>
      </c>
    </row>
    <row r="29" spans="2:6">
      <c r="B29" s="4" t="s">
        <v>116</v>
      </c>
      <c r="C29" s="1" t="s">
        <v>70</v>
      </c>
      <c r="D29" s="14">
        <v>0.48</v>
      </c>
      <c r="E29" s="14">
        <v>0.57999999999999996</v>
      </c>
      <c r="F29" s="6">
        <f t="shared" si="0"/>
        <v>0.53</v>
      </c>
    </row>
    <row r="30" spans="2:6">
      <c r="B30" s="4" t="s">
        <v>117</v>
      </c>
      <c r="C30" s="1" t="s">
        <v>57</v>
      </c>
      <c r="D30" s="14">
        <v>0.23</v>
      </c>
      <c r="E30" s="14">
        <v>0.4</v>
      </c>
      <c r="F30" s="6">
        <f t="shared" si="0"/>
        <v>0.315</v>
      </c>
    </row>
    <row r="31" spans="2:6">
      <c r="B31" s="4" t="s">
        <v>118</v>
      </c>
      <c r="C31" s="1" t="s">
        <v>56</v>
      </c>
      <c r="D31" s="14">
        <v>2.64</v>
      </c>
      <c r="E31" s="14">
        <v>2.92</v>
      </c>
      <c r="F31" s="6">
        <f t="shared" si="0"/>
        <v>2.7800000000000002</v>
      </c>
    </row>
    <row r="32" spans="2:6">
      <c r="B32" s="4" t="s">
        <v>119</v>
      </c>
      <c r="C32" s="1" t="s">
        <v>120</v>
      </c>
      <c r="D32" s="14">
        <v>5.48</v>
      </c>
      <c r="E32" s="14">
        <v>5.47</v>
      </c>
      <c r="F32" s="6">
        <f t="shared" si="0"/>
        <v>5.4749999999999996</v>
      </c>
    </row>
    <row r="33" spans="2:6">
      <c r="B33" s="4" t="s">
        <v>121</v>
      </c>
      <c r="D33" s="14">
        <v>0</v>
      </c>
      <c r="E33" s="14">
        <v>0</v>
      </c>
      <c r="F33" s="6">
        <f t="shared" si="0"/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AE68-724C-47BE-96A2-597B2B065366}">
  <dimension ref="A1:V38"/>
  <sheetViews>
    <sheetView zoomScale="85" zoomScaleNormal="85" workbookViewId="0">
      <selection activeCell="D36" sqref="D36:T36"/>
    </sheetView>
  </sheetViews>
  <sheetFormatPr defaultColWidth="11.42578125" defaultRowHeight="15"/>
  <cols>
    <col min="2" max="2" width="25.28515625" customWidth="1"/>
    <col min="3" max="3" width="17.7109375" bestFit="1" customWidth="1"/>
    <col min="4" max="20" width="12.42578125" customWidth="1"/>
  </cols>
  <sheetData>
    <row r="1" spans="1:21">
      <c r="A1" t="s">
        <v>122</v>
      </c>
    </row>
    <row r="2" spans="1:21">
      <c r="A2" t="s">
        <v>77</v>
      </c>
    </row>
    <row r="3" spans="1:21">
      <c r="A3" t="s">
        <v>123</v>
      </c>
    </row>
    <row r="6" spans="1:21">
      <c r="B6" s="2" t="s">
        <v>7</v>
      </c>
      <c r="C6" s="2" t="s">
        <v>8</v>
      </c>
      <c r="D6" s="11" t="s">
        <v>13</v>
      </c>
      <c r="E6" s="11" t="s">
        <v>13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  <c r="K6" s="11" t="s">
        <v>13</v>
      </c>
      <c r="L6" s="11" t="s">
        <v>13</v>
      </c>
      <c r="M6" s="11" t="s">
        <v>13</v>
      </c>
      <c r="N6" s="11" t="s">
        <v>13</v>
      </c>
      <c r="O6" s="11" t="s">
        <v>13</v>
      </c>
      <c r="P6" s="11" t="s">
        <v>13</v>
      </c>
      <c r="Q6" s="11" t="s">
        <v>13</v>
      </c>
      <c r="R6" s="11" t="s">
        <v>13</v>
      </c>
      <c r="S6" s="11" t="s">
        <v>13</v>
      </c>
      <c r="T6" s="11" t="s">
        <v>13</v>
      </c>
    </row>
    <row r="7" spans="1:21">
      <c r="B7" s="7" t="s">
        <v>124</v>
      </c>
      <c r="C7" s="1" t="s">
        <v>74</v>
      </c>
      <c r="D7" s="8">
        <v>4.3999999999999997E-2</v>
      </c>
      <c r="E7" s="8">
        <v>4.8000000000000001E-2</v>
      </c>
      <c r="F7" s="8">
        <v>5.6000000000000001E-2</v>
      </c>
      <c r="G7" s="8">
        <v>8.5000000000000006E-2</v>
      </c>
      <c r="H7" s="8">
        <v>8.5000000000000006E-2</v>
      </c>
      <c r="I7" s="8">
        <v>9.1999999999999998E-2</v>
      </c>
      <c r="J7" s="8">
        <v>9.1999999999999998E-2</v>
      </c>
      <c r="K7" s="8">
        <v>0.114</v>
      </c>
      <c r="L7" s="8">
        <v>0.114</v>
      </c>
      <c r="M7" s="8">
        <v>0.187</v>
      </c>
      <c r="N7" s="8">
        <v>0.187</v>
      </c>
      <c r="O7" s="8">
        <v>0.28599999999999998</v>
      </c>
      <c r="P7" s="8">
        <v>0.28599999999999998</v>
      </c>
      <c r="Q7" s="8">
        <v>0.314</v>
      </c>
      <c r="R7" s="8">
        <v>0.314</v>
      </c>
      <c r="S7" s="8">
        <v>0.39900000000000002</v>
      </c>
      <c r="T7" s="8">
        <v>0.40899999999999997</v>
      </c>
      <c r="U7" s="13">
        <f>S7</f>
        <v>0.39900000000000002</v>
      </c>
    </row>
    <row r="8" spans="1:21">
      <c r="B8" s="7" t="s">
        <v>125</v>
      </c>
      <c r="C8" t="s">
        <v>26</v>
      </c>
      <c r="D8" s="9">
        <v>0.9</v>
      </c>
      <c r="E8" s="9">
        <v>1.1599999999999999</v>
      </c>
      <c r="F8" s="9">
        <v>1.1100000000000001</v>
      </c>
      <c r="G8" s="9">
        <v>1.67</v>
      </c>
      <c r="H8" s="9">
        <v>1.67</v>
      </c>
      <c r="I8" s="9">
        <v>1.8</v>
      </c>
      <c r="J8" s="9">
        <v>1.8</v>
      </c>
      <c r="K8" s="9">
        <v>1.98</v>
      </c>
      <c r="L8" s="9">
        <v>1.98</v>
      </c>
      <c r="M8" s="9">
        <v>2.8</v>
      </c>
      <c r="N8" s="9">
        <v>2.8</v>
      </c>
      <c r="O8" s="9">
        <v>4.22</v>
      </c>
      <c r="P8" s="9">
        <v>4.22</v>
      </c>
      <c r="Q8" s="9">
        <v>4.59</v>
      </c>
      <c r="R8" s="9">
        <v>4.59</v>
      </c>
      <c r="S8" s="9">
        <v>5.65</v>
      </c>
      <c r="T8" s="9">
        <v>5.84</v>
      </c>
      <c r="U8" s="13">
        <f t="shared" ref="U8:U33" si="0">S8</f>
        <v>5.65</v>
      </c>
    </row>
    <row r="9" spans="1:21">
      <c r="B9" s="7" t="s">
        <v>126</v>
      </c>
      <c r="C9" t="s">
        <v>83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13">
        <f t="shared" si="0"/>
        <v>0</v>
      </c>
    </row>
    <row r="10" spans="1:21">
      <c r="B10" s="7" t="s">
        <v>127</v>
      </c>
      <c r="C10" t="s">
        <v>128</v>
      </c>
      <c r="D10" s="8">
        <v>0.91426309887317703</v>
      </c>
      <c r="E10" s="8">
        <v>1.18932873914649</v>
      </c>
      <c r="F10" s="8">
        <v>1.1507727646591801</v>
      </c>
      <c r="G10" s="8">
        <v>1.6693724339289</v>
      </c>
      <c r="H10" s="10">
        <v>1.67124596744276</v>
      </c>
      <c r="I10" s="8">
        <v>1.80002806157297</v>
      </c>
      <c r="J10" s="10">
        <v>1.7995416240936499</v>
      </c>
      <c r="K10" s="8">
        <v>2.1101677649360799</v>
      </c>
      <c r="L10" s="10">
        <v>2.1151101273165098</v>
      </c>
      <c r="M10" s="8">
        <v>2.83901747686836</v>
      </c>
      <c r="N10" s="10">
        <v>2.8379516865208299</v>
      </c>
      <c r="O10" s="8">
        <v>4.3066774901986697</v>
      </c>
      <c r="P10" s="10">
        <v>4.3095724471481898</v>
      </c>
      <c r="Q10" s="8">
        <v>4.62061679438336</v>
      </c>
      <c r="R10" s="10">
        <v>4.6237623204368301</v>
      </c>
      <c r="S10" s="8">
        <v>5.7062112436661696</v>
      </c>
      <c r="T10" s="8">
        <v>5.8421986219936004</v>
      </c>
      <c r="U10" s="13">
        <f t="shared" si="0"/>
        <v>5.7062112436661696</v>
      </c>
    </row>
    <row r="11" spans="1:21">
      <c r="B11" s="7" t="s">
        <v>129</v>
      </c>
      <c r="C11" s="1" t="s">
        <v>87</v>
      </c>
      <c r="D11" s="8">
        <v>0.26286920453992302</v>
      </c>
      <c r="E11" s="8">
        <v>0.33806214014952302</v>
      </c>
      <c r="F11" s="8">
        <v>0.33719872455411798</v>
      </c>
      <c r="G11" s="8">
        <v>0.41580298400635202</v>
      </c>
      <c r="H11" s="10">
        <v>0.50759847094367005</v>
      </c>
      <c r="I11" s="8">
        <v>0.44547917800016301</v>
      </c>
      <c r="J11" s="10">
        <v>0.54468758311536603</v>
      </c>
      <c r="K11" s="8">
        <v>0.52979239526779398</v>
      </c>
      <c r="L11" s="10">
        <v>0.64625588572566794</v>
      </c>
      <c r="M11" s="8">
        <v>1.2448795127858601</v>
      </c>
      <c r="N11" s="10">
        <v>1.2814545224320599</v>
      </c>
      <c r="O11" s="8">
        <v>1.61038968572831</v>
      </c>
      <c r="P11" s="10">
        <v>1.6683145219319699</v>
      </c>
      <c r="Q11" s="8">
        <v>1.74277857451109</v>
      </c>
      <c r="R11" s="10">
        <v>1.80475008896545</v>
      </c>
      <c r="S11" s="8">
        <v>2.05886388464838</v>
      </c>
      <c r="T11" s="8">
        <v>2.0876407010542701</v>
      </c>
      <c r="U11" s="13">
        <f t="shared" si="0"/>
        <v>2.05886388464838</v>
      </c>
    </row>
    <row r="12" spans="1:21">
      <c r="B12" s="7" t="s">
        <v>130</v>
      </c>
      <c r="C12" s="1" t="s">
        <v>89</v>
      </c>
      <c r="D12" s="8">
        <v>0.21372314523775901</v>
      </c>
      <c r="E12" s="8">
        <v>0.27019020625606699</v>
      </c>
      <c r="F12" s="8">
        <v>0.26073180177404398</v>
      </c>
      <c r="G12" s="8">
        <v>0.30713533361517198</v>
      </c>
      <c r="H12" s="10">
        <v>0.38931190846092401</v>
      </c>
      <c r="I12" s="8">
        <v>0.33676665560436497</v>
      </c>
      <c r="J12" s="10">
        <v>0.42407931509545199</v>
      </c>
      <c r="K12" s="8">
        <v>0.39188686442132697</v>
      </c>
      <c r="L12" s="10">
        <v>0.49550438644369299</v>
      </c>
      <c r="M12" s="8">
        <v>0.96931785881393395</v>
      </c>
      <c r="N12" s="10">
        <v>0.96757307679821403</v>
      </c>
      <c r="O12" s="8">
        <v>1.2319171816219701</v>
      </c>
      <c r="P12" s="10">
        <v>1.2907302729866399</v>
      </c>
      <c r="Q12" s="8">
        <v>1.3266867390755299</v>
      </c>
      <c r="R12" s="10">
        <v>1.38932473543561</v>
      </c>
      <c r="S12" s="8">
        <v>1.6494537333238399</v>
      </c>
      <c r="T12" s="8">
        <v>1.63129718757079</v>
      </c>
      <c r="U12" s="13">
        <f t="shared" si="0"/>
        <v>1.6494537333238399</v>
      </c>
    </row>
    <row r="13" spans="1:21">
      <c r="B13" s="7" t="s">
        <v>131</v>
      </c>
      <c r="C13" t="s">
        <v>91</v>
      </c>
      <c r="D13" s="8">
        <v>0.64905566477765697</v>
      </c>
      <c r="E13" s="8">
        <v>0.84880368647636995</v>
      </c>
      <c r="F13" s="8">
        <v>0.81058469838607905</v>
      </c>
      <c r="G13" s="8">
        <v>1.24897394095559</v>
      </c>
      <c r="H13" s="10">
        <v>1.15905314326968</v>
      </c>
      <c r="I13" s="8">
        <v>1.3495753762431699</v>
      </c>
      <c r="J13" s="10">
        <v>1.2498799403070999</v>
      </c>
      <c r="K13" s="8">
        <v>1.57425712561353</v>
      </c>
      <c r="L13" s="10">
        <v>1.4627371299043701</v>
      </c>
      <c r="M13" s="8">
        <v>1.5841980602685199</v>
      </c>
      <c r="N13" s="10">
        <v>1.54655111755779</v>
      </c>
      <c r="O13" s="8">
        <v>2.6809334423696098</v>
      </c>
      <c r="P13" s="10">
        <v>2.62590628440116</v>
      </c>
      <c r="Q13" s="8">
        <v>2.8608909742498301</v>
      </c>
      <c r="R13" s="10">
        <v>2.8020674469343398</v>
      </c>
      <c r="S13" s="8">
        <v>3.62586754379371</v>
      </c>
      <c r="T13" s="8">
        <v>3.7324542977747899</v>
      </c>
      <c r="U13" s="13">
        <f t="shared" si="0"/>
        <v>3.62586754379371</v>
      </c>
    </row>
    <row r="14" spans="1:21">
      <c r="B14" s="7" t="s">
        <v>132</v>
      </c>
      <c r="C14" t="s">
        <v>49</v>
      </c>
      <c r="D14" s="8">
        <v>4.9146059302164202E-2</v>
      </c>
      <c r="E14" s="8">
        <v>6.7871933893456193E-2</v>
      </c>
      <c r="F14" s="8">
        <v>7.6466922780073096E-2</v>
      </c>
      <c r="G14" s="8">
        <v>0.10866765039118</v>
      </c>
      <c r="H14" s="10">
        <v>0.11828656248274499</v>
      </c>
      <c r="I14" s="8">
        <v>0.108712522395798</v>
      </c>
      <c r="J14" s="10">
        <v>0.12060826801991401</v>
      </c>
      <c r="K14" s="8">
        <v>0.13790553084646601</v>
      </c>
      <c r="L14" s="10">
        <v>0.15075149928197501</v>
      </c>
      <c r="M14" s="8">
        <v>0.275561653971929</v>
      </c>
      <c r="N14" s="10">
        <v>0.31388144563385001</v>
      </c>
      <c r="O14" s="8">
        <v>0.37847250410633998</v>
      </c>
      <c r="P14" s="10">
        <v>0.37758424894532699</v>
      </c>
      <c r="Q14" s="8">
        <v>0.41609183543556399</v>
      </c>
      <c r="R14" s="10">
        <v>0.415425353529843</v>
      </c>
      <c r="S14" s="8">
        <v>0.40941015132453801</v>
      </c>
      <c r="T14" s="8">
        <v>0.45634351348347901</v>
      </c>
      <c r="U14" s="13">
        <f t="shared" si="0"/>
        <v>0.40941015132453801</v>
      </c>
    </row>
    <row r="15" spans="1:21">
      <c r="B15" s="7" t="s">
        <v>133</v>
      </c>
      <c r="C15" t="s">
        <v>94</v>
      </c>
      <c r="D15" s="8">
        <v>0.76768411726012198</v>
      </c>
      <c r="E15" s="8">
        <v>1.0036605041386699</v>
      </c>
      <c r="F15" s="8">
        <v>0.95353727499808105</v>
      </c>
      <c r="G15" s="8">
        <v>1.40477134728844</v>
      </c>
      <c r="H15" s="10">
        <v>1.36965718854751</v>
      </c>
      <c r="I15" s="8">
        <v>1.5208219645685901</v>
      </c>
      <c r="J15" s="10">
        <v>1.4793298414867</v>
      </c>
      <c r="K15" s="8">
        <v>1.76922780089779</v>
      </c>
      <c r="L15" s="10">
        <v>1.7268081828239299</v>
      </c>
      <c r="M15" s="8">
        <v>2.1167032660010898</v>
      </c>
      <c r="N15" s="10">
        <v>2.07780954579012</v>
      </c>
      <c r="O15" s="8">
        <v>3.3137901313245899</v>
      </c>
      <c r="P15" s="10">
        <v>3.2980267355864399</v>
      </c>
      <c r="Q15" s="8">
        <v>3.53311027732085</v>
      </c>
      <c r="R15" s="10">
        <v>3.5160795653844699</v>
      </c>
      <c r="S15" s="8">
        <v>4.4416070555958198</v>
      </c>
      <c r="T15" s="8">
        <v>4.5257398679510397</v>
      </c>
      <c r="U15" s="13">
        <f t="shared" si="0"/>
        <v>4.4416070555958198</v>
      </c>
    </row>
    <row r="16" spans="1:21">
      <c r="B16" s="7" t="s">
        <v>134</v>
      </c>
      <c r="C16" t="s">
        <v>96</v>
      </c>
      <c r="D16" s="8">
        <v>7.0943756379504494E-2</v>
      </c>
      <c r="E16" s="8">
        <v>8.9688436551125503E-2</v>
      </c>
      <c r="F16" s="8">
        <v>8.6318804589083004E-2</v>
      </c>
      <c r="G16" s="8">
        <v>0.10062981352499201</v>
      </c>
      <c r="H16" s="10">
        <v>0.12802884520322699</v>
      </c>
      <c r="I16" s="8">
        <v>0.110167416535524</v>
      </c>
      <c r="J16" s="10">
        <v>0.139270144765967</v>
      </c>
      <c r="K16" s="8">
        <v>0.12737659816906999</v>
      </c>
      <c r="L16" s="10">
        <v>0.16192100367482301</v>
      </c>
      <c r="M16" s="8">
        <v>0.31370008922758702</v>
      </c>
      <c r="N16" s="10">
        <v>0.31310305750071799</v>
      </c>
      <c r="O16" s="8">
        <v>0.38736735734211197</v>
      </c>
      <c r="P16" s="10">
        <v>0.40698291601466002</v>
      </c>
      <c r="Q16" s="8">
        <v>0.41369415537189103</v>
      </c>
      <c r="R16" s="10">
        <v>0.43458500570205499</v>
      </c>
      <c r="S16" s="8">
        <v>0.50328527427556602</v>
      </c>
      <c r="T16" s="8">
        <v>0.49449916328480897</v>
      </c>
      <c r="U16" s="13">
        <f t="shared" si="0"/>
        <v>0.50328527427556602</v>
      </c>
    </row>
    <row r="17" spans="2:22">
      <c r="B17" s="7" t="s">
        <v>135</v>
      </c>
      <c r="C17" t="s">
        <v>98</v>
      </c>
      <c r="D17" s="8">
        <v>5.0800134252101302E-2</v>
      </c>
      <c r="E17" s="8">
        <v>6.8450329152075898E-2</v>
      </c>
      <c r="F17" s="8">
        <v>6.0616987951241499E-2</v>
      </c>
      <c r="G17" s="8">
        <v>6.12882248210029E-2</v>
      </c>
      <c r="H17" s="10">
        <v>8.8694706760309397E-2</v>
      </c>
      <c r="I17" s="8">
        <v>6.7702736330228899E-2</v>
      </c>
      <c r="J17" s="10">
        <v>9.6804015938945498E-2</v>
      </c>
      <c r="K17" s="8">
        <v>7.5743954948030004E-2</v>
      </c>
      <c r="L17" s="10">
        <v>0.110298780719046</v>
      </c>
      <c r="M17" s="8">
        <v>0.23204522726395099</v>
      </c>
      <c r="N17" s="10">
        <v>0.231403502320189</v>
      </c>
      <c r="O17" s="8">
        <v>0.26593958983023502</v>
      </c>
      <c r="P17" s="10">
        <v>0.28558480554868398</v>
      </c>
      <c r="Q17" s="8">
        <v>0.28109553587752001</v>
      </c>
      <c r="R17" s="10">
        <v>0.30199473069227101</v>
      </c>
      <c r="S17" s="8">
        <v>0.34106223264854701</v>
      </c>
      <c r="T17" s="8">
        <v>0.328224181540403</v>
      </c>
      <c r="U17" s="13">
        <f t="shared" si="0"/>
        <v>0.34106223264854701</v>
      </c>
      <c r="V17">
        <f>D12/D8</f>
        <v>0.23747016137528779</v>
      </c>
    </row>
    <row r="18" spans="2:22">
      <c r="B18" s="7" t="s">
        <v>136</v>
      </c>
      <c r="C18" t="s">
        <v>100</v>
      </c>
      <c r="D18" s="8">
        <v>7.0943756379504494E-2</v>
      </c>
      <c r="E18" s="8">
        <v>8.9688436551125503E-2</v>
      </c>
      <c r="F18" s="8">
        <v>8.6318804589083004E-2</v>
      </c>
      <c r="G18" s="8">
        <v>0.10062981352499201</v>
      </c>
      <c r="H18" s="10">
        <v>0.12802884520322699</v>
      </c>
      <c r="I18" s="8">
        <v>0.110167416535524</v>
      </c>
      <c r="J18" s="10">
        <v>0.139270144765967</v>
      </c>
      <c r="K18" s="8">
        <v>0.12737659816906999</v>
      </c>
      <c r="L18" s="10">
        <v>0.16192100367482301</v>
      </c>
      <c r="M18" s="8">
        <v>0.31370008922758702</v>
      </c>
      <c r="N18" s="10">
        <v>0.31310305750071799</v>
      </c>
      <c r="O18" s="8">
        <v>0.38736735734211197</v>
      </c>
      <c r="P18" s="10">
        <v>0.40698291601466002</v>
      </c>
      <c r="Q18" s="8">
        <v>0.41369415537189103</v>
      </c>
      <c r="R18" s="10">
        <v>0.43458500570205499</v>
      </c>
      <c r="S18" s="8">
        <v>0.50328527427556602</v>
      </c>
      <c r="T18" s="8">
        <v>0.49449916328480897</v>
      </c>
      <c r="U18" s="13">
        <f t="shared" si="0"/>
        <v>0.50328527427556602</v>
      </c>
    </row>
    <row r="19" spans="2:22">
      <c r="B19" s="7" t="s">
        <v>137</v>
      </c>
      <c r="C19" s="1" t="s">
        <v>102</v>
      </c>
      <c r="D19" s="8">
        <v>1.63072766274926</v>
      </c>
      <c r="E19" s="8">
        <v>2.13880812791996</v>
      </c>
      <c r="F19" s="8">
        <v>2.0382799179167299</v>
      </c>
      <c r="G19" s="8">
        <v>2.9704235086625199</v>
      </c>
      <c r="H19" s="10">
        <v>2.93722084556331</v>
      </c>
      <c r="I19" s="8">
        <v>3.2082202662327601</v>
      </c>
      <c r="J19" s="10">
        <v>3.1662321579418302</v>
      </c>
      <c r="K19" s="8">
        <v>3.7399184462504902</v>
      </c>
      <c r="L19" s="10">
        <v>3.7024814288744401</v>
      </c>
      <c r="M19" s="8">
        <v>4.7208748816827004</v>
      </c>
      <c r="N19" s="10">
        <v>4.6807542085501304</v>
      </c>
      <c r="O19" s="8">
        <v>7.2401718737543197</v>
      </c>
      <c r="P19" s="10">
        <v>7.2274074898874998</v>
      </c>
      <c r="Q19" s="8">
        <v>7.7280737495035501</v>
      </c>
      <c r="R19" s="10">
        <v>7.7142492214075604</v>
      </c>
      <c r="S19" s="8">
        <v>9.5880239835466305</v>
      </c>
      <c r="T19" s="8">
        <v>9.7889635312207393</v>
      </c>
      <c r="U19" s="13">
        <f t="shared" si="0"/>
        <v>9.5880239835466305</v>
      </c>
    </row>
    <row r="20" spans="2:22">
      <c r="B20" s="7" t="s">
        <v>138</v>
      </c>
      <c r="C20" s="1" t="s">
        <v>104</v>
      </c>
      <c r="D20" s="8">
        <v>1.56403990135939</v>
      </c>
      <c r="E20" s="8">
        <v>2.0681289893705301</v>
      </c>
      <c r="F20" s="8">
        <v>1.95224515964483</v>
      </c>
      <c r="G20" s="8">
        <v>2.8344172650264299</v>
      </c>
      <c r="H20" s="10">
        <v>2.80125517186196</v>
      </c>
      <c r="I20" s="8">
        <v>3.0607700882130602</v>
      </c>
      <c r="J20" s="10">
        <v>3.01877399586906</v>
      </c>
      <c r="K20" s="8">
        <v>3.55986245150521</v>
      </c>
      <c r="L20" s="10">
        <v>3.5225473854444602</v>
      </c>
      <c r="M20" s="8">
        <v>4.4230848052293101</v>
      </c>
      <c r="N20" s="10">
        <v>4.3826797975171701</v>
      </c>
      <c r="O20" s="8">
        <v>6.7684202383686403</v>
      </c>
      <c r="P20" s="10">
        <v>6.7557542897032699</v>
      </c>
      <c r="Q20" s="8">
        <v>7.20248920879372</v>
      </c>
      <c r="R20" s="10">
        <v>7.1887660650047396</v>
      </c>
      <c r="S20" s="8">
        <v>8.9107274283438098</v>
      </c>
      <c r="T20" s="8">
        <v>9.0896139667320206</v>
      </c>
      <c r="U20" s="13">
        <f t="shared" si="0"/>
        <v>8.9107274283438098</v>
      </c>
    </row>
    <row r="21" spans="2:22">
      <c r="B21" s="7" t="s">
        <v>139</v>
      </c>
      <c r="C21" s="1" t="s">
        <v>140</v>
      </c>
      <c r="D21" s="8">
        <v>1.4498157906114899</v>
      </c>
      <c r="E21" s="8">
        <v>2.0427780235229802</v>
      </c>
      <c r="F21" s="8">
        <v>2.1529583781908599</v>
      </c>
      <c r="G21" s="8">
        <v>3.44009434372111</v>
      </c>
      <c r="H21" s="10">
        <v>3.3652464976053298</v>
      </c>
      <c r="I21" s="8">
        <v>3.1913758023344001</v>
      </c>
      <c r="J21" s="10">
        <v>3.1458708783185498</v>
      </c>
      <c r="K21" s="8">
        <v>3.5111266908069001</v>
      </c>
      <c r="L21" s="10">
        <v>3.4712847875683299</v>
      </c>
      <c r="M21" s="8">
        <v>4.5795084961129602</v>
      </c>
      <c r="N21" s="10">
        <v>4.5328001257913204</v>
      </c>
      <c r="O21" s="8">
        <v>5.4762813023558401</v>
      </c>
      <c r="P21" s="10">
        <v>5.46553922705563</v>
      </c>
      <c r="Q21" s="8">
        <v>6.8502745522308199</v>
      </c>
      <c r="R21" s="10">
        <v>6.8361474958393398</v>
      </c>
      <c r="S21" s="8">
        <v>6.8566551453687303</v>
      </c>
      <c r="T21" s="8">
        <v>7.0256062799313996</v>
      </c>
      <c r="U21" s="13">
        <f t="shared" si="0"/>
        <v>6.8566551453687303</v>
      </c>
    </row>
    <row r="22" spans="2:22">
      <c r="B22" s="7" t="s">
        <v>141</v>
      </c>
      <c r="C22" t="s">
        <v>47</v>
      </c>
      <c r="D22" s="8">
        <v>1.4686054760712599</v>
      </c>
      <c r="E22" s="8">
        <v>1.97817375824339</v>
      </c>
      <c r="F22" s="8">
        <v>2.2641698359039499</v>
      </c>
      <c r="G22" s="8">
        <v>3.2393687357703702</v>
      </c>
      <c r="H22" s="10">
        <v>3.1737376543240701</v>
      </c>
      <c r="I22" s="8">
        <v>3.2260718373878401</v>
      </c>
      <c r="J22" s="10">
        <v>3.2072286026433301</v>
      </c>
      <c r="K22" s="8">
        <v>3.8238456293192802</v>
      </c>
      <c r="L22" s="10">
        <v>3.7934723325615298</v>
      </c>
      <c r="M22" s="8">
        <v>4.6398937944308001</v>
      </c>
      <c r="N22" s="10">
        <v>4.6297559711839202</v>
      </c>
      <c r="O22" s="8">
        <v>5.5675165369246598</v>
      </c>
      <c r="P22" s="10">
        <v>5.5549132994293799</v>
      </c>
      <c r="Q22" s="8">
        <v>6.2039563059959999</v>
      </c>
      <c r="R22" s="10">
        <v>6.1897267408520902</v>
      </c>
      <c r="S22" s="8">
        <v>6.4208063119206198</v>
      </c>
      <c r="T22" s="8">
        <v>6.5539741306999799</v>
      </c>
      <c r="U22" s="13">
        <f t="shared" si="0"/>
        <v>6.4208063119206198</v>
      </c>
    </row>
    <row r="23" spans="2:22">
      <c r="B23" s="7" t="s">
        <v>142</v>
      </c>
      <c r="C23" s="1" t="s">
        <v>108</v>
      </c>
      <c r="D23" s="8">
        <v>1.2572967214392401</v>
      </c>
      <c r="E23" s="8">
        <v>1.7692408701375899</v>
      </c>
      <c r="F23" s="8">
        <v>1.5329696743915</v>
      </c>
      <c r="G23" s="8">
        <v>2.0480312171510699</v>
      </c>
      <c r="H23" s="10">
        <v>2.0239899605793501</v>
      </c>
      <c r="I23" s="8">
        <v>2.2022222579172701</v>
      </c>
      <c r="J23" s="10">
        <v>2.1720034571877598</v>
      </c>
      <c r="K23" s="8">
        <v>2.5936985685485898</v>
      </c>
      <c r="L23" s="10">
        <v>2.57149648108593</v>
      </c>
      <c r="M23" s="8">
        <v>2.8828047688093901</v>
      </c>
      <c r="N23" s="10">
        <v>2.8768755354555098</v>
      </c>
      <c r="O23" s="8">
        <v>4.3546080628308603</v>
      </c>
      <c r="P23" s="10">
        <v>4.3426158668990498</v>
      </c>
      <c r="Q23" s="8">
        <v>4.5163275765371802</v>
      </c>
      <c r="R23" s="10">
        <v>4.5035462916334899</v>
      </c>
      <c r="S23" s="8">
        <v>5.4819902116624899</v>
      </c>
      <c r="T23" s="8">
        <v>5.5848803608273796</v>
      </c>
      <c r="U23" s="13">
        <f t="shared" si="0"/>
        <v>5.4819902116624899</v>
      </c>
    </row>
    <row r="24" spans="2:22">
      <c r="B24" s="7" t="s">
        <v>143</v>
      </c>
      <c r="C24" t="s">
        <v>110</v>
      </c>
      <c r="D24" s="8">
        <v>1.13686948074774</v>
      </c>
      <c r="E24" s="8">
        <v>1.65581799358292</v>
      </c>
      <c r="F24" s="8">
        <v>0.92231724843007501</v>
      </c>
      <c r="G24" s="8">
        <v>1.0637773866570801</v>
      </c>
      <c r="H24" s="10">
        <v>1.0814280933241001</v>
      </c>
      <c r="I24" s="8">
        <v>1.40240181577865</v>
      </c>
      <c r="J24" s="10">
        <v>1.3608379522530301</v>
      </c>
      <c r="K24" s="8">
        <v>1.62523056262062</v>
      </c>
      <c r="L24" s="10">
        <v>1.6108025853602299</v>
      </c>
      <c r="M24" s="8">
        <v>1.5573721267798499</v>
      </c>
      <c r="N24" s="10">
        <v>1.55635753162582</v>
      </c>
      <c r="O24" s="8">
        <v>3.8134152406853499</v>
      </c>
      <c r="P24" s="10">
        <v>3.8017377105077901</v>
      </c>
      <c r="Q24" s="8">
        <v>3.57571048780042</v>
      </c>
      <c r="R24" s="10">
        <v>3.5640730760383499</v>
      </c>
      <c r="S24" s="8">
        <v>5.4819902116624899</v>
      </c>
      <c r="T24" s="8">
        <v>5.5848803608273796</v>
      </c>
      <c r="U24" s="13">
        <f t="shared" si="0"/>
        <v>5.4819902116624899</v>
      </c>
    </row>
    <row r="25" spans="2:22">
      <c r="B25" s="7" t="s">
        <v>144</v>
      </c>
      <c r="C25" t="s">
        <v>63</v>
      </c>
      <c r="D25" s="8">
        <v>1.09289612088262</v>
      </c>
      <c r="E25" s="8">
        <v>1.6126209238294</v>
      </c>
      <c r="F25" s="8">
        <v>0.85321517274073799</v>
      </c>
      <c r="G25" s="8">
        <v>0.92508015757397699</v>
      </c>
      <c r="H25" s="10">
        <v>0.94267129948795403</v>
      </c>
      <c r="I25" s="8">
        <v>1.25263863429328</v>
      </c>
      <c r="J25" s="10">
        <v>1.2110533999594699</v>
      </c>
      <c r="K25" s="8">
        <v>1.46104331441547</v>
      </c>
      <c r="L25" s="10">
        <v>1.44713096026051</v>
      </c>
      <c r="M25" s="8">
        <v>1.2846229990867299</v>
      </c>
      <c r="N25" s="10">
        <v>1.28283078150156</v>
      </c>
      <c r="O25" s="8">
        <v>3.3951999271436302</v>
      </c>
      <c r="P25" s="10">
        <v>3.3838646115363802</v>
      </c>
      <c r="Q25" s="8">
        <v>3.1091080409001601</v>
      </c>
      <c r="R25" s="10">
        <v>3.0978140075873202</v>
      </c>
      <c r="S25" s="8">
        <v>4.9117658207512003</v>
      </c>
      <c r="T25" s="8">
        <v>4.9953125779949401</v>
      </c>
      <c r="U25" s="13">
        <f t="shared" si="0"/>
        <v>4.9117658207512003</v>
      </c>
    </row>
    <row r="26" spans="2:22">
      <c r="B26" s="7" t="s">
        <v>145</v>
      </c>
      <c r="C26" t="s">
        <v>113</v>
      </c>
      <c r="D26" s="8">
        <v>1.2133233615741199</v>
      </c>
      <c r="E26" s="8">
        <v>1.7260438003840599</v>
      </c>
      <c r="F26" s="8">
        <v>1.4638675987021701</v>
      </c>
      <c r="G26" s="8">
        <v>1.9093339880679601</v>
      </c>
      <c r="H26" s="10">
        <v>1.8852331667432001</v>
      </c>
      <c r="I26" s="8">
        <v>2.0524590764319002</v>
      </c>
      <c r="J26" s="10">
        <v>2.0222189048941899</v>
      </c>
      <c r="K26" s="8">
        <v>2.4295113203434302</v>
      </c>
      <c r="L26" s="10">
        <v>2.4078248559861999</v>
      </c>
      <c r="M26" s="8">
        <v>2.6100556411162801</v>
      </c>
      <c r="N26" s="10">
        <v>2.6033487853312498</v>
      </c>
      <c r="O26" s="8">
        <v>3.9363927492891402</v>
      </c>
      <c r="P26" s="10">
        <v>3.9247427679276399</v>
      </c>
      <c r="Q26" s="8">
        <v>4.0497251296369203</v>
      </c>
      <c r="R26" s="10">
        <v>4.0372872231824601</v>
      </c>
      <c r="S26" s="8">
        <v>4.9117658207512003</v>
      </c>
      <c r="T26" s="8">
        <v>4.9953125779949401</v>
      </c>
      <c r="U26" s="13">
        <f t="shared" si="0"/>
        <v>4.9117658207512003</v>
      </c>
    </row>
    <row r="27" spans="2:22">
      <c r="B27" s="7" t="s">
        <v>146</v>
      </c>
      <c r="C27" s="1" t="s">
        <v>115</v>
      </c>
      <c r="D27" s="8">
        <v>1.23788569188037</v>
      </c>
      <c r="E27" s="8">
        <v>1.8394869466629999</v>
      </c>
      <c r="F27" s="8">
        <v>1.8683879706733599</v>
      </c>
      <c r="G27" s="8">
        <v>2.89002112865633</v>
      </c>
      <c r="H27" s="10">
        <v>2.82431171287547</v>
      </c>
      <c r="I27" s="8">
        <v>2.5882531821602299</v>
      </c>
      <c r="J27" s="10">
        <v>2.5545459863136699</v>
      </c>
      <c r="K27" s="8">
        <v>2.8411706921017701</v>
      </c>
      <c r="L27" s="10">
        <v>2.8159503200292302</v>
      </c>
      <c r="M27" s="8">
        <v>3.5243706142899698</v>
      </c>
      <c r="N27" s="10">
        <v>3.5130038438860698</v>
      </c>
      <c r="O27" s="8">
        <v>3.8068073907053801</v>
      </c>
      <c r="P27" s="10">
        <v>3.7963662398633899</v>
      </c>
      <c r="Q27" s="8">
        <v>4.9903516050732497</v>
      </c>
      <c r="R27" s="10">
        <v>4.9767713307855104</v>
      </c>
      <c r="S27" s="8">
        <v>4.4535784688590203</v>
      </c>
      <c r="T27" s="8">
        <v>4.5793885853051597</v>
      </c>
      <c r="U27" s="13">
        <f t="shared" si="0"/>
        <v>4.4535784688590203</v>
      </c>
    </row>
    <row r="28" spans="2:22">
      <c r="B28" s="7" t="s">
        <v>147</v>
      </c>
      <c r="C28" s="1" t="s">
        <v>70</v>
      </c>
      <c r="D28" s="8">
        <v>9.5864910385242905E-2</v>
      </c>
      <c r="E28" s="8">
        <v>-2.02697242760676E-5</v>
      </c>
      <c r="F28" s="8">
        <v>0.20613205399023701</v>
      </c>
      <c r="G28" s="8">
        <v>3.56668990561112E-3</v>
      </c>
      <c r="H28" s="10">
        <v>3.4833211229721999E-3</v>
      </c>
      <c r="I28" s="8">
        <v>0.26402633641029599</v>
      </c>
      <c r="J28" s="10">
        <v>0.27883842351525301</v>
      </c>
      <c r="K28" s="8">
        <v>0.556808634169629</v>
      </c>
      <c r="L28" s="10">
        <v>0.552568431682672</v>
      </c>
      <c r="M28" s="8">
        <v>0.41111766885585399</v>
      </c>
      <c r="N28" s="10">
        <v>0.41086294527487499</v>
      </c>
      <c r="O28" s="8">
        <v>0.67077818072927298</v>
      </c>
      <c r="P28" s="10">
        <v>0.66925468445551295</v>
      </c>
      <c r="Q28" s="8">
        <v>-9.3866995686593893E-6</v>
      </c>
      <c r="R28" s="10">
        <v>-1.08920079079051E-5</v>
      </c>
      <c r="S28" s="8">
        <v>0.45818735189218301</v>
      </c>
      <c r="T28" s="8">
        <v>0.41592399268978703</v>
      </c>
      <c r="U28" s="13">
        <f t="shared" si="0"/>
        <v>0.45818735189218301</v>
      </c>
    </row>
    <row r="29" spans="2:22">
      <c r="B29" s="7" t="s">
        <v>148</v>
      </c>
      <c r="C29" t="s">
        <v>57</v>
      </c>
      <c r="D29" s="8">
        <v>0.34841810057568801</v>
      </c>
      <c r="E29" s="8">
        <v>0.659533629298382</v>
      </c>
      <c r="F29" s="8">
        <v>0.60566620590473996</v>
      </c>
      <c r="G29" s="8">
        <v>1.18602239902621</v>
      </c>
      <c r="H29" s="10">
        <v>1.17223790078349</v>
      </c>
      <c r="I29" s="8">
        <v>0.86332066978465405</v>
      </c>
      <c r="J29" s="10">
        <v>0.85146136129952199</v>
      </c>
      <c r="K29" s="8">
        <v>0.71883493751412597</v>
      </c>
      <c r="L29" s="10">
        <v>0.71110104542003705</v>
      </c>
      <c r="M29" s="8">
        <v>1.1649040864276901</v>
      </c>
      <c r="N29" s="10">
        <v>1.15511061144501</v>
      </c>
      <c r="O29" s="8">
        <v>0.64095283963466898</v>
      </c>
      <c r="P29" s="10">
        <v>0.63927047181998697</v>
      </c>
      <c r="Q29" s="8">
        <v>1.8268233375571701</v>
      </c>
      <c r="R29" s="10">
        <v>1.82258438722647</v>
      </c>
      <c r="S29" s="8">
        <v>0.87694755655353795</v>
      </c>
      <c r="T29" s="8">
        <v>0.89905004111212194</v>
      </c>
      <c r="U29" s="13">
        <f t="shared" si="0"/>
        <v>0.87694755655353795</v>
      </c>
    </row>
    <row r="30" spans="2:22">
      <c r="B30" s="7" t="s">
        <v>149</v>
      </c>
      <c r="C30" s="1" t="s">
        <v>56</v>
      </c>
      <c r="D30" s="8">
        <v>0.42159163941750399</v>
      </c>
      <c r="E30" s="8">
        <v>0.64229194515358601</v>
      </c>
      <c r="F30" s="8">
        <v>0.35207438460836199</v>
      </c>
      <c r="G30" s="8">
        <v>0.49725971228353599</v>
      </c>
      <c r="H30" s="10">
        <v>0.52517045428018205</v>
      </c>
      <c r="I30" s="8">
        <v>0.64300165483531502</v>
      </c>
      <c r="J30" s="10">
        <v>0.63464402222103899</v>
      </c>
      <c r="K30" s="8">
        <v>0.65933989354454503</v>
      </c>
      <c r="L30" s="10">
        <v>0.65419414690850397</v>
      </c>
      <c r="M30" s="8">
        <v>0.83661917343862502</v>
      </c>
      <c r="N30" s="10">
        <v>0.83297834309749497</v>
      </c>
      <c r="O30" s="8">
        <v>1.67595098464946</v>
      </c>
      <c r="P30" s="10">
        <v>1.67239446592258</v>
      </c>
      <c r="Q30" s="8">
        <v>1.89770232722334</v>
      </c>
      <c r="R30" s="10">
        <v>1.8939271899535799</v>
      </c>
      <c r="S30" s="8">
        <v>2.58614441033862</v>
      </c>
      <c r="T30" s="8">
        <v>2.6092948867830601</v>
      </c>
      <c r="U30" s="13">
        <f t="shared" si="0"/>
        <v>2.58614441033862</v>
      </c>
    </row>
    <row r="31" spans="2:22">
      <c r="B31" s="7" t="s">
        <v>150</v>
      </c>
      <c r="C31" t="s">
        <v>151</v>
      </c>
      <c r="D31" s="8">
        <v>0</v>
      </c>
      <c r="E31" s="8">
        <v>0</v>
      </c>
      <c r="F31" s="8">
        <v>0</v>
      </c>
      <c r="G31" s="8">
        <v>0</v>
      </c>
      <c r="H31" s="10">
        <v>0</v>
      </c>
      <c r="I31" s="8">
        <v>0</v>
      </c>
      <c r="J31" s="10">
        <v>0</v>
      </c>
      <c r="K31" s="8">
        <v>0</v>
      </c>
      <c r="L31" s="10">
        <v>0</v>
      </c>
      <c r="M31" s="8">
        <v>0</v>
      </c>
      <c r="N31" s="10">
        <v>0</v>
      </c>
      <c r="O31" s="8">
        <v>0</v>
      </c>
      <c r="P31" s="10">
        <v>0</v>
      </c>
      <c r="Q31" s="8">
        <v>0</v>
      </c>
      <c r="R31" s="10">
        <v>0</v>
      </c>
      <c r="S31" s="8">
        <v>0</v>
      </c>
      <c r="T31" s="8">
        <v>0</v>
      </c>
      <c r="U31" s="13">
        <f t="shared" si="0"/>
        <v>0</v>
      </c>
    </row>
    <row r="32" spans="2:22">
      <c r="B32" s="7" t="s">
        <v>152</v>
      </c>
      <c r="C32" t="s">
        <v>153</v>
      </c>
      <c r="D32" s="8">
        <v>0.12042724069149301</v>
      </c>
      <c r="E32" s="8">
        <v>0.113422876554663</v>
      </c>
      <c r="F32" s="8">
        <v>0.61065242596143099</v>
      </c>
      <c r="G32" s="8">
        <v>0.98425383049398296</v>
      </c>
      <c r="H32" s="10">
        <v>0.94256186725524604</v>
      </c>
      <c r="I32" s="8">
        <v>0.79982044213862602</v>
      </c>
      <c r="J32" s="10">
        <v>0.81116550493472395</v>
      </c>
      <c r="K32" s="8">
        <v>0.96846800592796201</v>
      </c>
      <c r="L32" s="10">
        <v>0.96069389572569597</v>
      </c>
      <c r="M32" s="8">
        <v>1.3254326420295399</v>
      </c>
      <c r="N32" s="10">
        <v>1.32051800382969</v>
      </c>
      <c r="O32" s="8">
        <v>0.54119282214550901</v>
      </c>
      <c r="P32" s="10">
        <v>0.54087815639126102</v>
      </c>
      <c r="Q32" s="8">
        <v>0.94061708873676098</v>
      </c>
      <c r="R32" s="10">
        <v>0.93947321559514096</v>
      </c>
      <c r="S32" s="8">
        <v>0</v>
      </c>
      <c r="T32" s="8">
        <v>0</v>
      </c>
      <c r="U32" s="13">
        <f t="shared" si="0"/>
        <v>0</v>
      </c>
    </row>
    <row r="33" spans="2:21">
      <c r="B33" s="7" t="s">
        <v>154</v>
      </c>
      <c r="C33" t="s">
        <v>155</v>
      </c>
      <c r="D33" s="8">
        <v>0.83901784809772795</v>
      </c>
      <c r="E33" s="8">
        <v>1.44964405557962</v>
      </c>
      <c r="F33" s="8">
        <v>0.53343481319567099</v>
      </c>
      <c r="G33" s="8">
        <v>0.28674441310047799</v>
      </c>
      <c r="H33" s="10">
        <v>0.47753849320797398</v>
      </c>
      <c r="I33" s="8">
        <v>0.56258168747112802</v>
      </c>
      <c r="J33" s="10">
        <v>0.70732296009648998</v>
      </c>
      <c r="K33" s="8">
        <v>0.55366671307289095</v>
      </c>
      <c r="L33" s="10">
        <v>0.75925856945794601</v>
      </c>
      <c r="M33" s="8">
        <v>0.57896822558967198</v>
      </c>
      <c r="N33" s="10">
        <v>0.61100002388048502</v>
      </c>
      <c r="O33" s="8">
        <v>1.8204638768907599</v>
      </c>
      <c r="P33" s="10">
        <v>1.9258351210268001</v>
      </c>
      <c r="Q33" s="8">
        <v>1.34063560484428</v>
      </c>
      <c r="R33" s="10">
        <v>1.45426281086137</v>
      </c>
      <c r="S33" s="8">
        <v>2.57528891321259</v>
      </c>
      <c r="T33" s="8">
        <v>2.5116191094768299</v>
      </c>
      <c r="U33" s="13">
        <f t="shared" si="0"/>
        <v>2.57528891321259</v>
      </c>
    </row>
    <row r="34" spans="2:21">
      <c r="B34" s="7" t="s">
        <v>156</v>
      </c>
      <c r="D34" s="8">
        <v>3.8372646800605601</v>
      </c>
      <c r="E34" s="8">
        <v>5.4231293469877704</v>
      </c>
      <c r="F34" s="8">
        <v>4.6756042406039002</v>
      </c>
      <c r="G34" s="8">
        <v>6.2083903046500302</v>
      </c>
      <c r="H34" s="10">
        <v>6.2182155077331398</v>
      </c>
      <c r="I34" s="8">
        <v>6.6815684528597599</v>
      </c>
      <c r="J34" s="10">
        <v>6.67817012475283</v>
      </c>
      <c r="K34" s="8">
        <v>7.8334356686466897</v>
      </c>
      <c r="L34" s="10">
        <v>7.8697819983926802</v>
      </c>
      <c r="M34" s="8">
        <v>9.1052474661648404</v>
      </c>
      <c r="N34" s="10">
        <v>9.0861925429985799</v>
      </c>
      <c r="O34" s="8">
        <v>13.576389027039699</v>
      </c>
      <c r="P34" s="10">
        <v>13.5988672827876</v>
      </c>
      <c r="Q34" s="8">
        <v>14.110980554699999</v>
      </c>
      <c r="R34" s="10">
        <v>14.135067644729</v>
      </c>
      <c r="S34" s="8">
        <v>17.188220301598999</v>
      </c>
      <c r="T34" s="8">
        <v>17.466485804997799</v>
      </c>
      <c r="U34" s="13"/>
    </row>
    <row r="35" spans="2:21">
      <c r="B35" s="7" t="s">
        <v>157</v>
      </c>
      <c r="D35" s="8">
        <v>4.3542893716335802E-2</v>
      </c>
      <c r="E35" s="8">
        <v>4.5826613435189699E-2</v>
      </c>
      <c r="F35" s="8">
        <v>5.5604364299264103E-2</v>
      </c>
      <c r="G35" s="8">
        <v>8.4996553388239304E-2</v>
      </c>
      <c r="H35" s="10">
        <v>8.5000151109531297E-2</v>
      </c>
      <c r="I35" s="8">
        <v>9.1996949028811795E-2</v>
      </c>
      <c r="J35" s="10">
        <v>9.2001770022866705E-2</v>
      </c>
      <c r="K35" s="8">
        <v>0.11351522482549301</v>
      </c>
      <c r="L35" s="10">
        <v>0.113502571364705</v>
      </c>
      <c r="M35" s="8">
        <v>0.18428013746330801</v>
      </c>
      <c r="N35" s="10">
        <v>0.18437827769462201</v>
      </c>
      <c r="O35" s="8">
        <v>0.28433143827764401</v>
      </c>
      <c r="P35" s="10">
        <v>0.28429324889208601</v>
      </c>
      <c r="Q35" s="8">
        <v>0.31356388613264402</v>
      </c>
      <c r="R35" s="10">
        <v>0.31352782945100899</v>
      </c>
      <c r="S35" s="8">
        <v>0.39747417571758797</v>
      </c>
      <c r="T35" s="8">
        <v>0.408864267904959</v>
      </c>
      <c r="U35" s="13"/>
    </row>
    <row r="36" spans="2:21">
      <c r="B36" s="7" t="s">
        <v>75</v>
      </c>
      <c r="D36">
        <f>D7/(D8*0.1802)</f>
        <v>0.27130348994943887</v>
      </c>
      <c r="E36">
        <f t="shared" ref="E36:T36" si="1">E7/(E8*0.1802)</f>
        <v>0.22962991312334954</v>
      </c>
      <c r="F36">
        <f t="shared" si="1"/>
        <v>0.27996920338762737</v>
      </c>
      <c r="G36">
        <f t="shared" si="1"/>
        <v>0.28245396000451928</v>
      </c>
      <c r="H36">
        <f t="shared" si="1"/>
        <v>0.28245396000451928</v>
      </c>
      <c r="I36">
        <f t="shared" si="1"/>
        <v>0.28363546676532247</v>
      </c>
      <c r="J36">
        <f t="shared" si="1"/>
        <v>0.28363546676532247</v>
      </c>
      <c r="K36">
        <f t="shared" si="1"/>
        <v>0.31951030841152928</v>
      </c>
      <c r="L36">
        <f t="shared" si="1"/>
        <v>0.31951030841152928</v>
      </c>
      <c r="M36">
        <f t="shared" si="1"/>
        <v>0.37061994609164417</v>
      </c>
      <c r="N36">
        <f t="shared" si="1"/>
        <v>0.37061994609164417</v>
      </c>
      <c r="O36">
        <f t="shared" si="1"/>
        <v>0.3760960701905729</v>
      </c>
      <c r="P36">
        <f t="shared" si="1"/>
        <v>0.3760960701905729</v>
      </c>
      <c r="Q36">
        <f t="shared" si="1"/>
        <v>0.37963144315563196</v>
      </c>
      <c r="R36">
        <f t="shared" si="1"/>
        <v>0.37963144315563196</v>
      </c>
      <c r="S36">
        <f t="shared" si="1"/>
        <v>0.39189494465343327</v>
      </c>
      <c r="T36">
        <f t="shared" si="1"/>
        <v>0.38864731728824897</v>
      </c>
    </row>
    <row r="38" spans="2:21">
      <c r="G38" s="12"/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D05A-8F4B-4554-8AA6-1F21E6A988FA}">
  <dimension ref="A1:O34"/>
  <sheetViews>
    <sheetView workbookViewId="0">
      <selection activeCell="G8" sqref="G8"/>
    </sheetView>
  </sheetViews>
  <sheetFormatPr defaultColWidth="11.42578125" defaultRowHeight="15"/>
  <cols>
    <col min="2" max="2" width="21.7109375" style="1" bestFit="1" customWidth="1"/>
    <col min="3" max="3" width="27.140625" style="1" bestFit="1" customWidth="1"/>
    <col min="4" max="4" width="27.140625" style="1" customWidth="1"/>
    <col min="5" max="5" width="13.42578125" style="1" bestFit="1" customWidth="1"/>
    <col min="6" max="9" width="19.85546875" style="1" bestFit="1" customWidth="1"/>
    <col min="11" max="11" width="25.28515625" customWidth="1"/>
  </cols>
  <sheetData>
    <row r="1" spans="1:15">
      <c r="A1" t="s">
        <v>158</v>
      </c>
    </row>
    <row r="2" spans="1:15">
      <c r="A2" t="s">
        <v>159</v>
      </c>
    </row>
    <row r="6" spans="1:15">
      <c r="B6" s="2" t="s">
        <v>160</v>
      </c>
      <c r="C6" s="2" t="s">
        <v>161</v>
      </c>
      <c r="D6" s="2" t="s">
        <v>162</v>
      </c>
      <c r="E6" s="2" t="s">
        <v>163</v>
      </c>
      <c r="F6" s="2" t="s">
        <v>164</v>
      </c>
      <c r="G6" s="2" t="s">
        <v>165</v>
      </c>
      <c r="H6" s="2" t="s">
        <v>166</v>
      </c>
      <c r="I6" s="2" t="s">
        <v>167</v>
      </c>
    </row>
    <row r="7" spans="1:15">
      <c r="B7" s="1" t="s">
        <v>168</v>
      </c>
      <c r="C7" s="1" t="s">
        <v>26</v>
      </c>
      <c r="D7" s="1">
        <v>2805</v>
      </c>
      <c r="E7" s="1">
        <v>8.26</v>
      </c>
      <c r="F7" s="1">
        <v>1.67</v>
      </c>
      <c r="G7" s="1">
        <v>2.8</v>
      </c>
      <c r="H7" s="1">
        <v>4.22</v>
      </c>
      <c r="I7" s="1">
        <v>5.65</v>
      </c>
    </row>
    <row r="8" spans="1:15">
      <c r="B8" s="1" t="s">
        <v>169</v>
      </c>
      <c r="C8" s="1" t="s">
        <v>74</v>
      </c>
      <c r="D8" s="1">
        <v>2712</v>
      </c>
      <c r="E8" s="1">
        <v>0.61</v>
      </c>
      <c r="F8" s="1">
        <v>8.5000000000000006E-2</v>
      </c>
      <c r="G8" s="1">
        <v>0.187</v>
      </c>
      <c r="H8" s="1">
        <v>0.28599999999999998</v>
      </c>
      <c r="I8" s="1">
        <v>0.39900000000000002</v>
      </c>
      <c r="K8" s="4"/>
      <c r="L8" s="1"/>
      <c r="M8" s="3"/>
      <c r="N8" s="3"/>
      <c r="O8" s="6"/>
    </row>
    <row r="9" spans="1:15">
      <c r="B9" s="1" t="s">
        <v>170</v>
      </c>
      <c r="C9" s="1" t="s">
        <v>83</v>
      </c>
      <c r="D9" s="1">
        <v>34</v>
      </c>
      <c r="E9" s="1">
        <v>4.8899999999999997</v>
      </c>
      <c r="F9" s="1">
        <v>0</v>
      </c>
      <c r="G9" s="1">
        <v>0</v>
      </c>
      <c r="H9" s="1">
        <v>0</v>
      </c>
      <c r="I9" s="1">
        <v>0</v>
      </c>
      <c r="K9" s="5"/>
      <c r="L9" s="1"/>
      <c r="M9" s="3"/>
      <c r="N9" s="3"/>
      <c r="O9" s="6"/>
    </row>
    <row r="10" spans="1:15">
      <c r="B10" s="1" t="s">
        <v>171</v>
      </c>
      <c r="C10" s="1" t="s">
        <v>91</v>
      </c>
      <c r="D10" s="1">
        <v>102</v>
      </c>
      <c r="E10" s="1">
        <v>5.8100000000000005</v>
      </c>
      <c r="F10" s="1">
        <v>1.204013542112635</v>
      </c>
      <c r="G10" s="1">
        <v>1.565374588913155</v>
      </c>
      <c r="H10" s="1">
        <v>2.6534198633853849</v>
      </c>
      <c r="I10" s="1">
        <v>3.62586754379371</v>
      </c>
      <c r="K10" s="5"/>
      <c r="L10" s="5"/>
      <c r="M10" s="3"/>
      <c r="N10" s="3"/>
      <c r="O10" s="6"/>
    </row>
    <row r="11" spans="1:15">
      <c r="B11" s="1" t="s">
        <v>172</v>
      </c>
      <c r="C11" s="1" t="s">
        <v>87</v>
      </c>
      <c r="D11" s="1">
        <v>658</v>
      </c>
      <c r="E11" s="1">
        <v>2.29</v>
      </c>
      <c r="F11" s="1">
        <v>0.46170072747501101</v>
      </c>
      <c r="G11" s="1">
        <v>1.26316701760896</v>
      </c>
      <c r="H11" s="1">
        <v>1.63935210383014</v>
      </c>
      <c r="I11" s="1">
        <v>2.05886388464838</v>
      </c>
      <c r="K11" s="5"/>
      <c r="L11" s="1"/>
      <c r="M11" s="3"/>
      <c r="N11" s="3"/>
      <c r="O11" s="6"/>
    </row>
    <row r="12" spans="1:15">
      <c r="B12" s="1" t="s">
        <v>173</v>
      </c>
      <c r="C12" s="1" t="s">
        <v>49</v>
      </c>
      <c r="D12" s="1">
        <v>104</v>
      </c>
      <c r="E12" s="1">
        <v>0.76500000000000001</v>
      </c>
      <c r="F12" s="1">
        <v>0.11347710643696249</v>
      </c>
      <c r="G12" s="1">
        <v>0.2947215498028895</v>
      </c>
      <c r="H12" s="1">
        <v>0.37802837652583349</v>
      </c>
      <c r="I12" s="1">
        <v>0.40941015132453801</v>
      </c>
      <c r="K12" s="4"/>
      <c r="L12" s="1"/>
      <c r="M12" s="3"/>
      <c r="N12" s="3"/>
      <c r="O12" s="6"/>
    </row>
    <row r="13" spans="1:15">
      <c r="B13" s="1" t="s">
        <v>174</v>
      </c>
      <c r="C13" s="1" t="s">
        <v>108</v>
      </c>
      <c r="D13" s="1">
        <v>59</v>
      </c>
      <c r="E13" s="1">
        <v>2.2450000000000001</v>
      </c>
      <c r="F13" s="1">
        <v>2.03601058886521</v>
      </c>
      <c r="G13" s="1">
        <v>2.8798401521324499</v>
      </c>
      <c r="H13" s="1">
        <v>4.348611964864955</v>
      </c>
      <c r="I13" s="1">
        <v>5.4819902116624899</v>
      </c>
      <c r="K13" s="4"/>
      <c r="L13" s="1"/>
      <c r="M13" s="3"/>
      <c r="N13" s="3"/>
      <c r="O13" s="6"/>
    </row>
    <row r="14" spans="1:15">
      <c r="B14" s="1" t="s">
        <v>175</v>
      </c>
      <c r="C14" s="1" t="s">
        <v>72</v>
      </c>
      <c r="D14" s="1">
        <v>292</v>
      </c>
      <c r="E14" s="1">
        <v>0</v>
      </c>
      <c r="F14" s="1">
        <v>0.9634078488746145</v>
      </c>
      <c r="G14" s="1">
        <v>1.3229753229296151</v>
      </c>
      <c r="H14" s="1">
        <v>0.54103548926838507</v>
      </c>
      <c r="I14" s="1">
        <v>0</v>
      </c>
      <c r="K14" s="4"/>
      <c r="L14" s="1"/>
      <c r="M14" s="3"/>
      <c r="N14" s="3"/>
      <c r="O14" s="6"/>
    </row>
    <row r="15" spans="1:15">
      <c r="B15" s="1" t="s">
        <v>176</v>
      </c>
      <c r="C15" s="1" t="s">
        <v>56</v>
      </c>
      <c r="D15" s="1">
        <v>300</v>
      </c>
      <c r="E15" s="1">
        <v>2.7800000000000002</v>
      </c>
      <c r="F15" s="1">
        <v>0.51121508328185905</v>
      </c>
      <c r="G15" s="1">
        <v>0.83479875826806005</v>
      </c>
      <c r="H15" s="1">
        <v>1.6741727252860201</v>
      </c>
      <c r="I15" s="1">
        <v>2.58614441033862</v>
      </c>
      <c r="K15" s="4"/>
      <c r="L15" s="1"/>
      <c r="M15" s="3"/>
      <c r="N15" s="3"/>
      <c r="O15" s="6"/>
    </row>
    <row r="16" spans="1:15">
      <c r="B16" s="1" t="s">
        <v>177</v>
      </c>
      <c r="C16" s="1" t="s">
        <v>178</v>
      </c>
      <c r="D16" s="1">
        <v>65</v>
      </c>
      <c r="E16" s="15">
        <v>0.53</v>
      </c>
      <c r="F16" s="15">
        <v>3.5250055142916599E-3</v>
      </c>
      <c r="G16" s="15">
        <v>0.41099030706536449</v>
      </c>
      <c r="H16" s="15">
        <v>0.67001643259239296</v>
      </c>
      <c r="I16" s="15">
        <v>0.45818735189218301</v>
      </c>
      <c r="K16" s="4"/>
      <c r="L16" s="1"/>
      <c r="M16" s="3"/>
      <c r="N16" s="3"/>
      <c r="O16" s="6"/>
    </row>
    <row r="17" spans="2:15">
      <c r="B17" s="1" t="s">
        <v>179</v>
      </c>
      <c r="C17" s="1" t="s">
        <v>180</v>
      </c>
      <c r="D17" s="1">
        <v>581</v>
      </c>
      <c r="E17" s="15"/>
      <c r="F17" s="15"/>
      <c r="G17" s="15"/>
      <c r="H17" s="15"/>
      <c r="I17" s="15"/>
      <c r="K17" s="4"/>
      <c r="L17" s="1"/>
      <c r="M17" s="3"/>
      <c r="N17" s="3"/>
      <c r="O17" s="6"/>
    </row>
    <row r="18" spans="2:15">
      <c r="K18" s="4"/>
      <c r="L18" s="1"/>
      <c r="M18" s="3"/>
      <c r="N18" s="3"/>
      <c r="O18" s="6"/>
    </row>
    <row r="19" spans="2:15">
      <c r="K19" s="4"/>
      <c r="L19" s="1"/>
      <c r="M19" s="3"/>
      <c r="N19" s="3"/>
      <c r="O19" s="6"/>
    </row>
    <row r="20" spans="2:15">
      <c r="K20" s="4"/>
      <c r="L20" s="1"/>
      <c r="M20" s="3"/>
      <c r="N20" s="3"/>
      <c r="O20" s="6"/>
    </row>
    <row r="21" spans="2:15">
      <c r="K21" s="4"/>
      <c r="L21" s="1"/>
      <c r="M21" s="3"/>
      <c r="N21" s="3"/>
      <c r="O21" s="6"/>
    </row>
    <row r="22" spans="2:15">
      <c r="K22" s="4"/>
      <c r="L22" s="1"/>
      <c r="M22" s="3"/>
      <c r="N22" s="3"/>
      <c r="O22" s="6"/>
    </row>
    <row r="23" spans="2:15">
      <c r="K23" s="4"/>
      <c r="L23" s="1"/>
      <c r="M23" s="3"/>
      <c r="N23" s="3"/>
      <c r="O23" s="6"/>
    </row>
    <row r="24" spans="2:15">
      <c r="K24" s="4"/>
      <c r="L24" s="1"/>
      <c r="M24" s="3"/>
      <c r="N24" s="3"/>
      <c r="O24" s="6"/>
    </row>
    <row r="25" spans="2:15">
      <c r="K25" s="4"/>
      <c r="L25" s="1"/>
      <c r="M25" s="3"/>
      <c r="N25" s="3"/>
      <c r="O25" s="6"/>
    </row>
    <row r="26" spans="2:15">
      <c r="K26" s="4"/>
      <c r="L26" s="1"/>
      <c r="M26" s="3"/>
      <c r="N26" s="3"/>
      <c r="O26" s="6"/>
    </row>
    <row r="27" spans="2:15">
      <c r="K27" s="4"/>
      <c r="L27" s="1"/>
      <c r="M27" s="3"/>
      <c r="N27" s="3"/>
      <c r="O27" s="6"/>
    </row>
    <row r="28" spans="2:15">
      <c r="K28" s="4"/>
      <c r="L28" s="1"/>
      <c r="M28" s="3"/>
      <c r="N28" s="3"/>
      <c r="O28" s="6"/>
    </row>
    <row r="29" spans="2:15">
      <c r="K29" s="4"/>
      <c r="L29" s="1"/>
      <c r="M29" s="3"/>
      <c r="N29" s="3"/>
      <c r="O29" s="6"/>
    </row>
    <row r="30" spans="2:15">
      <c r="K30" s="4"/>
      <c r="L30" s="1"/>
      <c r="M30" s="3"/>
      <c r="N30" s="3"/>
      <c r="O30" s="6"/>
    </row>
    <row r="31" spans="2:15">
      <c r="K31" s="4"/>
      <c r="L31" s="1"/>
      <c r="M31" s="3"/>
      <c r="N31" s="3"/>
      <c r="O31" s="6"/>
    </row>
    <row r="32" spans="2:15">
      <c r="K32" s="4"/>
      <c r="L32" s="1"/>
      <c r="M32" s="3"/>
      <c r="N32" s="3"/>
      <c r="O32" s="6"/>
    </row>
    <row r="33" spans="11:15">
      <c r="K33" s="4"/>
      <c r="L33" s="1"/>
      <c r="M33" s="3"/>
      <c r="N33" s="3"/>
      <c r="O33" s="6"/>
    </row>
    <row r="34" spans="11:15">
      <c r="K34" s="4"/>
      <c r="L34" s="1"/>
      <c r="M34" s="3"/>
      <c r="N34" s="3"/>
      <c r="O34" s="6"/>
    </row>
  </sheetData>
  <mergeCells count="5">
    <mergeCell ref="E16:E17"/>
    <mergeCell ref="F16:F17"/>
    <mergeCell ref="G16:G17"/>
    <mergeCell ref="H16:H17"/>
    <mergeCell ref="I16:I17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D3BE551960214CAA4120E3DF7DC3B8" ma:contentTypeVersion="2" ma:contentTypeDescription="Ein neues Dokument erstellen." ma:contentTypeScope="" ma:versionID="535ddc652723c7142e9f66e994fbee47">
  <xsd:schema xmlns:xsd="http://www.w3.org/2001/XMLSchema" xmlns:xs="http://www.w3.org/2001/XMLSchema" xmlns:p="http://schemas.microsoft.com/office/2006/metadata/properties" xmlns:ns2="afd73b97-26da-4832-b47e-32a036c31d0e" targetNamespace="http://schemas.microsoft.com/office/2006/metadata/properties" ma:root="true" ma:fieldsID="43e35c5d37a32e7acf5e43ff12a64094" ns2:_="">
    <xsd:import namespace="afd73b97-26da-4832-b47e-32a036c31d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73b97-26da-4832-b47e-32a036c31d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D12F1E-30A1-4489-BF0F-1C017A98C26E}"/>
</file>

<file path=customXml/itemProps2.xml><?xml version="1.0" encoding="utf-8"?>
<ds:datastoreItem xmlns:ds="http://schemas.openxmlformats.org/officeDocument/2006/customXml" ds:itemID="{4F8458CA-3028-4AD6-889B-03BF495CCB61}"/>
</file>

<file path=customXml/itemProps3.xml><?xml version="1.0" encoding="utf-8"?>
<ds:datastoreItem xmlns:ds="http://schemas.openxmlformats.org/officeDocument/2006/customXml" ds:itemID="{66CEC00D-A616-4ECF-9654-B720162931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Alter,Tobias</dc:creator>
  <cp:keywords/>
  <dc:description/>
  <cp:lastModifiedBy>Tobias Alter</cp:lastModifiedBy>
  <cp:revision/>
  <dcterms:created xsi:type="dcterms:W3CDTF">2019-02-22T08:58:03Z</dcterms:created>
  <dcterms:modified xsi:type="dcterms:W3CDTF">2023-01-30T09:27:21Z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0x010100E5D3BE551960214CAA4120E3DF7DC3B8</vt:lpwstr>
  </property>
</Properties>
</file>