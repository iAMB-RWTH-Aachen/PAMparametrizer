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7.xml" ContentType="application/vnd.openxmlformats-officedocument.spreadsheetml.workshee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ert\Promo\Projekte\Protein Allocation\Literature review\"/>
    </mc:Choice>
  </mc:AlternateContent>
  <xr:revisionPtr revIDLastSave="0" documentId="13_ncr:1_{CF874F35-793A-41B4-8C75-9C19E2E2A283}" xr6:coauthVersionLast="43" xr6:coauthVersionMax="43" xr10:uidLastSave="{00000000-0000-0000-0000-000000000000}"/>
  <bookViews>
    <workbookView xWindow="-28920" yWindow="-120" windowWidth="29040" windowHeight="16440" firstSheet="5" activeTab="12" xr2:uid="{BA7312A5-91E2-4C6E-9D55-CB5402EC56F1}"/>
  </bookViews>
  <sheets>
    <sheet name="Phenotypic data" sheetId="1" r:id="rId1"/>
    <sheet name="Valgepea 2010" sheetId="2" r:id="rId2"/>
    <sheet name="Perrenoud 2005" sheetId="3" r:id="rId3"/>
    <sheet name="Nanchen 2006" sheetId="4" r:id="rId4"/>
    <sheet name="Peebo 2015" sheetId="5" r:id="rId5"/>
    <sheet name="Yao 2011" sheetId="9" r:id="rId6"/>
    <sheet name="Vemuri 2006" sheetId="12" r:id="rId7"/>
    <sheet name="Kayser 2004" sheetId="8" r:id="rId8"/>
    <sheet name="Folsom 2014" sheetId="10" r:id="rId9"/>
    <sheet name="Folsom 2015" sheetId="14" r:id="rId10"/>
    <sheet name="Monk 2016" sheetId="11" r:id="rId11"/>
    <sheet name="Fischer 2003" sheetId="13" r:id="rId12"/>
    <sheet name="Summary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2" i="7" l="1"/>
  <c r="D59" i="7"/>
  <c r="D60" i="7"/>
  <c r="D61" i="7"/>
  <c r="D58" i="7"/>
  <c r="C6" i="7" l="1"/>
  <c r="C7" i="7"/>
  <c r="C8" i="7"/>
  <c r="C9" i="7"/>
  <c r="C10" i="7"/>
  <c r="C11" i="7"/>
  <c r="C12" i="7"/>
  <c r="D55" i="7" l="1"/>
  <c r="D54" i="7"/>
  <c r="D53" i="7"/>
  <c r="D52" i="7"/>
  <c r="H8" i="14"/>
  <c r="H9" i="14"/>
  <c r="H10" i="14"/>
  <c r="H7" i="14"/>
  <c r="D8" i="14"/>
  <c r="D9" i="14"/>
  <c r="D10" i="14"/>
  <c r="D7" i="14"/>
  <c r="B51" i="7" l="1"/>
  <c r="B50" i="7"/>
  <c r="B49" i="7"/>
  <c r="B48" i="7"/>
  <c r="B47" i="7"/>
  <c r="B46" i="7"/>
  <c r="B45" i="7"/>
  <c r="B8" i="12"/>
  <c r="B9" i="12"/>
  <c r="B10" i="12"/>
  <c r="B11" i="12"/>
  <c r="B12" i="12"/>
  <c r="B13" i="12"/>
  <c r="B7" i="12"/>
  <c r="M47" i="12"/>
  <c r="M48" i="12"/>
  <c r="M49" i="12"/>
  <c r="M50" i="12"/>
  <c r="M51" i="12"/>
  <c r="M52" i="12"/>
  <c r="M46" i="12"/>
  <c r="N37" i="12"/>
  <c r="N38" i="12"/>
  <c r="N39" i="12"/>
  <c r="N40" i="12"/>
  <c r="N42" i="12"/>
  <c r="N36" i="12"/>
  <c r="M37" i="12"/>
  <c r="M38" i="12"/>
  <c r="M39" i="12"/>
  <c r="M40" i="12"/>
  <c r="M41" i="12"/>
  <c r="N41" i="12" s="1"/>
  <c r="M42" i="12"/>
  <c r="M36" i="12"/>
  <c r="N17" i="12"/>
  <c r="N18" i="12"/>
  <c r="N19" i="12"/>
  <c r="N20" i="12"/>
  <c r="N21" i="12"/>
  <c r="N22" i="12"/>
  <c r="M27" i="12"/>
  <c r="M28" i="12"/>
  <c r="M29" i="12"/>
  <c r="M30" i="12"/>
  <c r="M31" i="12"/>
  <c r="M32" i="12"/>
  <c r="M26" i="12"/>
  <c r="M17" i="12"/>
  <c r="M18" i="12"/>
  <c r="M19" i="12"/>
  <c r="M20" i="12"/>
  <c r="M21" i="12"/>
  <c r="M22" i="12"/>
  <c r="M16" i="12"/>
  <c r="N16" i="12" s="1"/>
  <c r="M8" i="12"/>
  <c r="M9" i="12"/>
  <c r="M10" i="12"/>
  <c r="M11" i="12"/>
  <c r="M12" i="12"/>
  <c r="M13" i="12"/>
  <c r="M7" i="12"/>
  <c r="D44" i="7" l="1"/>
  <c r="D43" i="7"/>
  <c r="D8" i="11"/>
  <c r="D7" i="11"/>
  <c r="D42" i="7"/>
  <c r="D41" i="7"/>
  <c r="D40" i="7"/>
  <c r="D39" i="7"/>
  <c r="D8" i="10"/>
  <c r="D9" i="10"/>
  <c r="D10" i="10"/>
  <c r="D7" i="10"/>
  <c r="L8" i="8"/>
  <c r="L9" i="8"/>
  <c r="L10" i="8"/>
  <c r="L11" i="8"/>
  <c r="L12" i="8"/>
  <c r="L13" i="8"/>
  <c r="L14" i="8"/>
  <c r="L15" i="8"/>
  <c r="L16" i="8"/>
  <c r="L17" i="8"/>
  <c r="L18" i="8"/>
  <c r="L19" i="8"/>
  <c r="L7" i="8"/>
  <c r="D8" i="8"/>
  <c r="D9" i="8"/>
  <c r="D10" i="8"/>
  <c r="D11" i="8"/>
  <c r="D12" i="8"/>
  <c r="D13" i="8"/>
  <c r="D14" i="8"/>
  <c r="D15" i="8"/>
  <c r="D16" i="8"/>
  <c r="D17" i="8"/>
  <c r="D18" i="8"/>
  <c r="D19" i="8"/>
  <c r="D7" i="8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H13" i="7"/>
  <c r="F13" i="7"/>
  <c r="C13" i="7"/>
  <c r="F12" i="7"/>
  <c r="H11" i="7"/>
  <c r="F11" i="7"/>
  <c r="H10" i="7"/>
  <c r="F10" i="7"/>
  <c r="H9" i="7"/>
  <c r="F9" i="7"/>
  <c r="H8" i="7"/>
  <c r="F8" i="7"/>
  <c r="H7" i="7"/>
  <c r="F7" i="7"/>
  <c r="H6" i="7"/>
  <c r="F6" i="7"/>
  <c r="D15" i="5"/>
  <c r="D14" i="5"/>
  <c r="D13" i="5"/>
  <c r="D12" i="5"/>
  <c r="D11" i="5"/>
  <c r="D8" i="5"/>
  <c r="D9" i="5"/>
  <c r="D10" i="5"/>
  <c r="D7" i="5"/>
  <c r="D8" i="4"/>
  <c r="D9" i="4"/>
  <c r="D10" i="4"/>
  <c r="D11" i="4"/>
  <c r="D12" i="4"/>
  <c r="D13" i="4"/>
  <c r="D14" i="4"/>
  <c r="D15" i="4"/>
  <c r="D16" i="4"/>
  <c r="D17" i="4"/>
  <c r="D7" i="4"/>
  <c r="H7" i="2"/>
  <c r="H8" i="2"/>
  <c r="H9" i="2"/>
  <c r="H10" i="2"/>
  <c r="F7" i="2"/>
  <c r="F8" i="2"/>
  <c r="F9" i="2"/>
  <c r="F10" i="2"/>
  <c r="C7" i="2"/>
  <c r="C8" i="2"/>
  <c r="C9" i="2"/>
  <c r="C10" i="2"/>
  <c r="C8" i="1"/>
  <c r="D8" i="1"/>
  <c r="C7" i="1"/>
  <c r="E6" i="1"/>
  <c r="D6" i="1"/>
</calcChain>
</file>

<file path=xl/sharedStrings.xml><?xml version="1.0" encoding="utf-8"?>
<sst xmlns="http://schemas.openxmlformats.org/spreadsheetml/2006/main" count="391" uniqueCount="84">
  <si>
    <t xml:space="preserve">Phenotypes of Escherichia coli </t>
  </si>
  <si>
    <t>Maximal growth, no limitations</t>
  </si>
  <si>
    <t>Glucose minimal medium</t>
  </si>
  <si>
    <t>Growth rate [1/h]</t>
  </si>
  <si>
    <t>Substrate uptake rate [mmol/g/h]</t>
  </si>
  <si>
    <t>Acetate excretion [mmol/g/h]</t>
  </si>
  <si>
    <t>Reference</t>
  </si>
  <si>
    <t>Valgepea 2010</t>
  </si>
  <si>
    <t>Varma 1994</t>
  </si>
  <si>
    <t>Peebo 2015</t>
  </si>
  <si>
    <t>NAN</t>
  </si>
  <si>
    <t>Biomass yield [g/g]</t>
  </si>
  <si>
    <t>Info</t>
  </si>
  <si>
    <t>LaCroix 2015</t>
  </si>
  <si>
    <t>K-12 MG1655</t>
  </si>
  <si>
    <t>K-12 W3110</t>
  </si>
  <si>
    <t>Oxygen uptake [mmol/g/h]</t>
  </si>
  <si>
    <t>Long 2016</t>
  </si>
  <si>
    <t>Red is calculated</t>
  </si>
  <si>
    <t>K-12 BW25113</t>
  </si>
  <si>
    <t>Anmerkung</t>
  </si>
  <si>
    <t>Biomass yield is very low, byproduct is missing?!</t>
  </si>
  <si>
    <t>Growth characteristics of Escherichia coli K12 MG 1655</t>
  </si>
  <si>
    <t>Valgepea 2010 (10.1186/1752-0509-4-166)</t>
  </si>
  <si>
    <t>Growth rate</t>
  </si>
  <si>
    <t>Unit</t>
  </si>
  <si>
    <t>Substrate: Glucose (minimal medium)</t>
  </si>
  <si>
    <t>1/h</t>
  </si>
  <si>
    <t>Glucose uptake</t>
  </si>
  <si>
    <t>Biomass yield</t>
  </si>
  <si>
    <t>g/g</t>
  </si>
  <si>
    <t>A-stat</t>
  </si>
  <si>
    <t>chemostat</t>
  </si>
  <si>
    <t>Acetate yield</t>
  </si>
  <si>
    <t>CO2 yield</t>
  </si>
  <si>
    <t>Acetate secretion flux</t>
  </si>
  <si>
    <t>CO2 secretion flux</t>
  </si>
  <si>
    <t>mmol/g</t>
  </si>
  <si>
    <t>-</t>
  </si>
  <si>
    <t>mmol/g/h</t>
  </si>
  <si>
    <t>Growth characteristics of Escherichia coli K12 BW25113</t>
  </si>
  <si>
    <t>Perrenoud 2005 (10.1128/JB.187.9.3171-3179.2005)</t>
  </si>
  <si>
    <t>Also intracellular fluxes are given</t>
  </si>
  <si>
    <t>Nanchen 2006 (10.1128/AEM.72.2.1164)</t>
  </si>
  <si>
    <t>Also quantitative protein data is given, also rich medium data is given</t>
  </si>
  <si>
    <t>Peebo 2015 (10.1039/C4MB00721B)</t>
  </si>
  <si>
    <t>Data summary from previous sheets</t>
  </si>
  <si>
    <t>Perrenoud 2005</t>
  </si>
  <si>
    <t>Nanchen 2006</t>
  </si>
  <si>
    <t>Also intracellular flux data, proteome, transcript is given</t>
  </si>
  <si>
    <t>Kayser 2004 ( 10.1099/mic.0.27481-0)</t>
  </si>
  <si>
    <r>
      <t xml:space="preserve">Growth characteristics of </t>
    </r>
    <r>
      <rPr>
        <sz val="11"/>
        <color rgb="FFFF0000"/>
        <rFont val="Calibri"/>
        <family val="2"/>
        <scheme val="minor"/>
      </rPr>
      <t>Escherichia coli TG1</t>
    </r>
  </si>
  <si>
    <t>Yao 2011 (10.1186/1475-2859-10-67)</t>
  </si>
  <si>
    <t>Also (some) proteome data is given</t>
  </si>
  <si>
    <t>Folsom 2014 (10.1128/JB.01606-14)</t>
  </si>
  <si>
    <t>O2 uptake flux</t>
  </si>
  <si>
    <t>Folsom 2014</t>
  </si>
  <si>
    <t>Monk 2016 (10.1016/j.cels.2016.08.013)</t>
  </si>
  <si>
    <t>Comparison with different E. coli strains</t>
  </si>
  <si>
    <t>Growth characteristics of Escherichia coli K12 MG 1655 / W3110</t>
  </si>
  <si>
    <t>MG1655</t>
  </si>
  <si>
    <t>W3110</t>
  </si>
  <si>
    <t>Monk 2016</t>
  </si>
  <si>
    <t>Growth characteristics of Escherichia coli K12 MG1655</t>
  </si>
  <si>
    <t>px qs</t>
  </si>
  <si>
    <t>px qCO2 g/g</t>
  </si>
  <si>
    <t>px qO2</t>
  </si>
  <si>
    <t>Vemuri 2006 (10.1128/AEM.72.5.3653)</t>
  </si>
  <si>
    <t>px qA</t>
  </si>
  <si>
    <t>g/g/h</t>
  </si>
  <si>
    <t>px Yxs</t>
  </si>
  <si>
    <t>Vemuri 2006</t>
  </si>
  <si>
    <t>BW25113</t>
  </si>
  <si>
    <t>Batch and chemostat culture</t>
  </si>
  <si>
    <t>Fischer 2003  (10.1074/jbc.M307968200)</t>
  </si>
  <si>
    <t>Batch</t>
  </si>
  <si>
    <t>Folsom 2015 (10.1099/mic.0.000118)</t>
  </si>
  <si>
    <t>Cmol/Cmol</t>
  </si>
  <si>
    <t>Folsom 2015</t>
  </si>
  <si>
    <t>Fischer 2003</t>
  </si>
  <si>
    <t>10.1128/AEM.02246-14</t>
  </si>
  <si>
    <t>10.1002/bit.25133</t>
  </si>
  <si>
    <t>10.1016/j.cels.2016.08.013</t>
  </si>
  <si>
    <t>10.1016/j.cels.2015.09.008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</si>
</sst>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6" fontId="0" fillId="0" borderId="0" xfId="0" applyNumberFormat="1"/>
    <xf numFmtId="2" fontId="0" fillId="0" borderId="0" xfId="0" applyNumberFormat="1"/>
    <xf numFmtId="0" fontId="1" fillId="0" borderId="0" xfId="0" applyFont="1" applyFill="1" applyBorder="1" applyAlignment="1">
      <alignment horizontal="center"/>
    </xf>
    <xf numFmtId="2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Font="1" applyAlignment="1">
      <alignment horizontal="center"/>
    </xf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'Valgepea 2010'!$B$11:$B$14</c:f>
              <c:numCache>
                <c:formatCode>0.00</c:formatCode>
                <c:ptCount val="4"/>
                <c:pt idx="0">
                  <c:v>0.24</c:v>
                </c:pt>
                <c:pt idx="1">
                  <c:v>0.3</c:v>
                </c:pt>
                <c:pt idx="2">
                  <c:v>0.4</c:v>
                </c:pt>
                <c:pt idx="3">
                  <c:v>0.51</c:v>
                </c:pt>
              </c:numCache>
            </c:numRef>
          </c:xVal>
          <c:yVal>
            <c:numRef>
              <c:f>'Valgepea 2010'!$D$11:$D$14</c:f>
              <c:numCache>
                <c:formatCode>0.00</c:formatCode>
                <c:ptCount val="4"/>
                <c:pt idx="0">
                  <c:v>0.44</c:v>
                </c:pt>
                <c:pt idx="1">
                  <c:v>0.46</c:v>
                </c:pt>
                <c:pt idx="2">
                  <c:v>0.44</c:v>
                </c:pt>
                <c:pt idx="3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2D-4A7E-BEE9-4CE4541D4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86488"/>
        <c:axId val="434486816"/>
      </c:scatterChart>
      <c:valAx>
        <c:axId val="43448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86816"/>
        <c:crosses val="autoZero"/>
        <c:crossBetween val="midCat"/>
      </c:valAx>
      <c:valAx>
        <c:axId val="434486816"/>
        <c:scaling>
          <c:orientation val="minMax"/>
          <c:max val="0.5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86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uptake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Summary!$B$6:$B$62</c:f>
              <c:numCache>
                <c:formatCode>0.00000</c:formatCode>
                <c:ptCount val="57"/>
                <c:pt idx="0">
                  <c:v>0.24</c:v>
                </c:pt>
                <c:pt idx="1">
                  <c:v>0.24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0.51</c:v>
                </c:pt>
                <c:pt idx="7">
                  <c:v>0.51</c:v>
                </c:pt>
                <c:pt idx="8">
                  <c:v>0.65</c:v>
                </c:pt>
                <c:pt idx="9">
                  <c:v>0.04</c:v>
                </c:pt>
                <c:pt idx="10">
                  <c:v>0.05</c:v>
                </c:pt>
                <c:pt idx="11">
                  <c:v>0.06</c:v>
                </c:pt>
                <c:pt idx="12">
                  <c:v>0.09</c:v>
                </c:pt>
                <c:pt idx="13">
                  <c:v>0.09</c:v>
                </c:pt>
                <c:pt idx="14">
                  <c:v>0.11</c:v>
                </c:pt>
                <c:pt idx="15">
                  <c:v>0.19</c:v>
                </c:pt>
                <c:pt idx="16">
                  <c:v>0.28999999999999998</c:v>
                </c:pt>
                <c:pt idx="17">
                  <c:v>0.31</c:v>
                </c:pt>
                <c:pt idx="18">
                  <c:v>0.4</c:v>
                </c:pt>
                <c:pt idx="19">
                  <c:v>0.41</c:v>
                </c:pt>
                <c:pt idx="20">
                  <c:v>0.21</c:v>
                </c:pt>
                <c:pt idx="21">
                  <c:v>0.31</c:v>
                </c:pt>
                <c:pt idx="22">
                  <c:v>0.41</c:v>
                </c:pt>
                <c:pt idx="23">
                  <c:v>0.51</c:v>
                </c:pt>
                <c:pt idx="24">
                  <c:v>0.22</c:v>
                </c:pt>
                <c:pt idx="25">
                  <c:v>0.26</c:v>
                </c:pt>
                <c:pt idx="26">
                  <c:v>0.36</c:v>
                </c:pt>
                <c:pt idx="27">
                  <c:v>0.46</c:v>
                </c:pt>
                <c:pt idx="28">
                  <c:v>0.51</c:v>
                </c:pt>
                <c:pt idx="33">
                  <c:v>0.1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0.73</c:v>
                </c:pt>
                <c:pt idx="38">
                  <c:v>0.61</c:v>
                </c:pt>
                <c:pt idx="39">
                  <c:v>5.3081052066559324E-2</c:v>
                </c:pt>
                <c:pt idx="40">
                  <c:v>0.10184034966643664</c:v>
                </c:pt>
                <c:pt idx="41">
                  <c:v>0.1917989417989418</c:v>
                </c:pt>
                <c:pt idx="42">
                  <c:v>0.29827191166321598</c:v>
                </c:pt>
                <c:pt idx="43">
                  <c:v>0.4113419216317768</c:v>
                </c:pt>
                <c:pt idx="44">
                  <c:v>0.49603174603174605</c:v>
                </c:pt>
                <c:pt idx="45">
                  <c:v>0.60226293995859215</c:v>
                </c:pt>
                <c:pt idx="46">
                  <c:v>0.1</c:v>
                </c:pt>
                <c:pt idx="47">
                  <c:v>0.2</c:v>
                </c:pt>
                <c:pt idx="48">
                  <c:v>0.3</c:v>
                </c:pt>
                <c:pt idx="49">
                  <c:v>0.4</c:v>
                </c:pt>
                <c:pt idx="50">
                  <c:v>0.85</c:v>
                </c:pt>
                <c:pt idx="51">
                  <c:v>0.12</c:v>
                </c:pt>
                <c:pt idx="52" formatCode="General">
                  <c:v>0.69</c:v>
                </c:pt>
                <c:pt idx="53" formatCode="General">
                  <c:v>0.59</c:v>
                </c:pt>
                <c:pt idx="54" formatCode="General">
                  <c:v>0.61</c:v>
                </c:pt>
                <c:pt idx="55" formatCode="General">
                  <c:v>0.73</c:v>
                </c:pt>
                <c:pt idx="56" formatCode="General">
                  <c:v>0.65</c:v>
                </c:pt>
              </c:numCache>
            </c:numRef>
          </c:xVal>
          <c:yVal>
            <c:numRef>
              <c:f>Summary!$C$6:$C$62</c:f>
              <c:numCache>
                <c:formatCode>0.00000</c:formatCode>
                <c:ptCount val="57"/>
                <c:pt idx="0">
                  <c:v>3.0269397638986981</c:v>
                </c:pt>
                <c:pt idx="1">
                  <c:v>3.3296337402885681</c:v>
                </c:pt>
                <c:pt idx="2">
                  <c:v>3.6191671090093127</c:v>
                </c:pt>
                <c:pt idx="3">
                  <c:v>4.0605289515714249</c:v>
                </c:pt>
                <c:pt idx="4">
                  <c:v>5.0448996064978315</c:v>
                </c:pt>
                <c:pt idx="5">
                  <c:v>5.2851329210929654</c:v>
                </c:pt>
                <c:pt idx="6">
                  <c:v>6.5818341377797287</c:v>
                </c:pt>
                <c:pt idx="7">
                  <c:v>6.9028992176714219</c:v>
                </c:pt>
                <c:pt idx="8">
                  <c:v>7.6</c:v>
                </c:pt>
                <c:pt idx="9">
                  <c:v>0.9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1.7</c:v>
                </c:pt>
                <c:pt idx="13">
                  <c:v>1.8</c:v>
                </c:pt>
                <c:pt idx="14">
                  <c:v>2</c:v>
                </c:pt>
                <c:pt idx="15">
                  <c:v>2.8</c:v>
                </c:pt>
                <c:pt idx="16">
                  <c:v>4.2</c:v>
                </c:pt>
                <c:pt idx="17">
                  <c:v>4.5999999999999996</c:v>
                </c:pt>
                <c:pt idx="18">
                  <c:v>5.7</c:v>
                </c:pt>
                <c:pt idx="19">
                  <c:v>5.8</c:v>
                </c:pt>
                <c:pt idx="20">
                  <c:v>2.66</c:v>
                </c:pt>
                <c:pt idx="21">
                  <c:v>3.81</c:v>
                </c:pt>
                <c:pt idx="22">
                  <c:v>4.91</c:v>
                </c:pt>
                <c:pt idx="23">
                  <c:v>6.24</c:v>
                </c:pt>
                <c:pt idx="24">
                  <c:v>2.78</c:v>
                </c:pt>
                <c:pt idx="25">
                  <c:v>3.25</c:v>
                </c:pt>
                <c:pt idx="26">
                  <c:v>4.3600000000000003</c:v>
                </c:pt>
                <c:pt idx="27">
                  <c:v>5.52</c:v>
                </c:pt>
                <c:pt idx="28">
                  <c:v>6.24</c:v>
                </c:pt>
                <c:pt idx="33">
                  <c:v>1.52</c:v>
                </c:pt>
                <c:pt idx="34">
                  <c:v>2.4700000000000002</c:v>
                </c:pt>
                <c:pt idx="35">
                  <c:v>4.25</c:v>
                </c:pt>
                <c:pt idx="36">
                  <c:v>5.65</c:v>
                </c:pt>
                <c:pt idx="37">
                  <c:v>9.5299999999999994</c:v>
                </c:pt>
                <c:pt idx="38">
                  <c:v>6.65</c:v>
                </c:pt>
                <c:pt idx="39">
                  <c:v>0.699705641075134</c:v>
                </c:pt>
                <c:pt idx="40">
                  <c:v>1.204665623427386</c:v>
                </c:pt>
                <c:pt idx="41">
                  <c:v>2.1542661363150675</c:v>
                </c:pt>
                <c:pt idx="42">
                  <c:v>3.3451444564700368</c:v>
                </c:pt>
                <c:pt idx="43">
                  <c:v>4.6928533513487434</c:v>
                </c:pt>
                <c:pt idx="44">
                  <c:v>5.9457745362295862</c:v>
                </c:pt>
                <c:pt idx="45">
                  <c:v>7.8742735814588345</c:v>
                </c:pt>
                <c:pt idx="46">
                  <c:v>1.52</c:v>
                </c:pt>
                <c:pt idx="47">
                  <c:v>2.4700000000000002</c:v>
                </c:pt>
                <c:pt idx="48">
                  <c:v>4.25</c:v>
                </c:pt>
                <c:pt idx="49">
                  <c:v>5.65</c:v>
                </c:pt>
                <c:pt idx="50">
                  <c:v>11.3</c:v>
                </c:pt>
                <c:pt idx="51">
                  <c:v>2.2999999999999998</c:v>
                </c:pt>
                <c:pt idx="52" formatCode="General">
                  <c:v>8.59</c:v>
                </c:pt>
                <c:pt idx="53" formatCode="General">
                  <c:v>7.81</c:v>
                </c:pt>
                <c:pt idx="54" formatCode="General">
                  <c:v>7.54</c:v>
                </c:pt>
                <c:pt idx="55" formatCode="General">
                  <c:v>9.5299999999999994</c:v>
                </c:pt>
                <c:pt idx="56" formatCode="General">
                  <c:v>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29-4496-AD47-14F8CD337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10896"/>
        <c:axId val="735611224"/>
      </c:scatterChart>
      <c:valAx>
        <c:axId val="73561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11224"/>
        <c:crosses val="autoZero"/>
        <c:crossBetween val="midCat"/>
      </c:valAx>
      <c:valAx>
        <c:axId val="73561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 uptake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1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Acetate secretion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Summary!$B$6:$B$62</c:f>
              <c:numCache>
                <c:formatCode>0.00000</c:formatCode>
                <c:ptCount val="57"/>
                <c:pt idx="0">
                  <c:v>0.24</c:v>
                </c:pt>
                <c:pt idx="1">
                  <c:v>0.24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0.51</c:v>
                </c:pt>
                <c:pt idx="7">
                  <c:v>0.51</c:v>
                </c:pt>
                <c:pt idx="8">
                  <c:v>0.65</c:v>
                </c:pt>
                <c:pt idx="9">
                  <c:v>0.04</c:v>
                </c:pt>
                <c:pt idx="10">
                  <c:v>0.05</c:v>
                </c:pt>
                <c:pt idx="11">
                  <c:v>0.06</c:v>
                </c:pt>
                <c:pt idx="12">
                  <c:v>0.09</c:v>
                </c:pt>
                <c:pt idx="13">
                  <c:v>0.09</c:v>
                </c:pt>
                <c:pt idx="14">
                  <c:v>0.11</c:v>
                </c:pt>
                <c:pt idx="15">
                  <c:v>0.19</c:v>
                </c:pt>
                <c:pt idx="16">
                  <c:v>0.28999999999999998</c:v>
                </c:pt>
                <c:pt idx="17">
                  <c:v>0.31</c:v>
                </c:pt>
                <c:pt idx="18">
                  <c:v>0.4</c:v>
                </c:pt>
                <c:pt idx="19">
                  <c:v>0.41</c:v>
                </c:pt>
                <c:pt idx="20">
                  <c:v>0.21</c:v>
                </c:pt>
                <c:pt idx="21">
                  <c:v>0.31</c:v>
                </c:pt>
                <c:pt idx="22">
                  <c:v>0.41</c:v>
                </c:pt>
                <c:pt idx="23">
                  <c:v>0.51</c:v>
                </c:pt>
                <c:pt idx="24">
                  <c:v>0.22</c:v>
                </c:pt>
                <c:pt idx="25">
                  <c:v>0.26</c:v>
                </c:pt>
                <c:pt idx="26">
                  <c:v>0.36</c:v>
                </c:pt>
                <c:pt idx="27">
                  <c:v>0.46</c:v>
                </c:pt>
                <c:pt idx="28">
                  <c:v>0.51</c:v>
                </c:pt>
                <c:pt idx="33">
                  <c:v>0.1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0.73</c:v>
                </c:pt>
                <c:pt idx="38">
                  <c:v>0.61</c:v>
                </c:pt>
                <c:pt idx="39">
                  <c:v>5.3081052066559324E-2</c:v>
                </c:pt>
                <c:pt idx="40">
                  <c:v>0.10184034966643664</c:v>
                </c:pt>
                <c:pt idx="41">
                  <c:v>0.1917989417989418</c:v>
                </c:pt>
                <c:pt idx="42">
                  <c:v>0.29827191166321598</c:v>
                </c:pt>
                <c:pt idx="43">
                  <c:v>0.4113419216317768</c:v>
                </c:pt>
                <c:pt idx="44">
                  <c:v>0.49603174603174605</c:v>
                </c:pt>
                <c:pt idx="45">
                  <c:v>0.60226293995859215</c:v>
                </c:pt>
                <c:pt idx="46">
                  <c:v>0.1</c:v>
                </c:pt>
                <c:pt idx="47">
                  <c:v>0.2</c:v>
                </c:pt>
                <c:pt idx="48">
                  <c:v>0.3</c:v>
                </c:pt>
                <c:pt idx="49">
                  <c:v>0.4</c:v>
                </c:pt>
                <c:pt idx="50">
                  <c:v>0.85</c:v>
                </c:pt>
                <c:pt idx="51">
                  <c:v>0.12</c:v>
                </c:pt>
                <c:pt idx="52" formatCode="General">
                  <c:v>0.69</c:v>
                </c:pt>
                <c:pt idx="53" formatCode="General">
                  <c:v>0.59</c:v>
                </c:pt>
                <c:pt idx="54" formatCode="General">
                  <c:v>0.61</c:v>
                </c:pt>
                <c:pt idx="55" formatCode="General">
                  <c:v>0.73</c:v>
                </c:pt>
                <c:pt idx="56" formatCode="General">
                  <c:v>0.65</c:v>
                </c:pt>
              </c:numCache>
            </c:numRef>
          </c:xVal>
          <c:yVal>
            <c:numRef>
              <c:f>Summary!$F$6:$F$62</c:f>
              <c:numCache>
                <c:formatCode>0.00000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0.159</c:v>
                </c:pt>
                <c:pt idx="3">
                  <c:v>0.27</c:v>
                </c:pt>
                <c:pt idx="4">
                  <c:v>0.68</c:v>
                </c:pt>
                <c:pt idx="5">
                  <c:v>0.62400000000000011</c:v>
                </c:pt>
                <c:pt idx="6">
                  <c:v>1.6575</c:v>
                </c:pt>
                <c:pt idx="7">
                  <c:v>1.7085000000000001</c:v>
                </c:pt>
                <c:pt idx="8">
                  <c:v>4.8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3.49</c:v>
                </c:pt>
                <c:pt idx="38">
                  <c:v>2.95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0.15509028470145123</c:v>
                </c:pt>
                <c:pt idx="44">
                  <c:v>1.8416971308297332</c:v>
                </c:pt>
                <c:pt idx="45">
                  <c:v>6.1094494294893105</c:v>
                </c:pt>
                <c:pt idx="50">
                  <c:v>7.1</c:v>
                </c:pt>
                <c:pt idx="51">
                  <c:v>0</c:v>
                </c:pt>
                <c:pt idx="52" formatCode="General">
                  <c:v>3.91</c:v>
                </c:pt>
                <c:pt idx="53" formatCode="General">
                  <c:v>3.26</c:v>
                </c:pt>
                <c:pt idx="54" formatCode="General">
                  <c:v>2.72</c:v>
                </c:pt>
                <c:pt idx="55" formatCode="General">
                  <c:v>3.49</c:v>
                </c:pt>
                <c:pt idx="56" formatCode="General">
                  <c:v>6.83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8-4945-A76B-C6303AD85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10896"/>
        <c:axId val="735611224"/>
      </c:scatterChart>
      <c:valAx>
        <c:axId val="73561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11224"/>
        <c:crosses val="autoZero"/>
        <c:crossBetween val="midCat"/>
      </c:valAx>
      <c:valAx>
        <c:axId val="73561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Acetate secretion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1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Summary!$B$6:$B$62</c:f>
              <c:numCache>
                <c:formatCode>0.00000</c:formatCode>
                <c:ptCount val="57"/>
                <c:pt idx="0">
                  <c:v>0.24</c:v>
                </c:pt>
                <c:pt idx="1">
                  <c:v>0.24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0.51</c:v>
                </c:pt>
                <c:pt idx="7">
                  <c:v>0.51</c:v>
                </c:pt>
                <c:pt idx="8">
                  <c:v>0.65</c:v>
                </c:pt>
                <c:pt idx="9">
                  <c:v>0.04</c:v>
                </c:pt>
                <c:pt idx="10">
                  <c:v>0.05</c:v>
                </c:pt>
                <c:pt idx="11">
                  <c:v>0.06</c:v>
                </c:pt>
                <c:pt idx="12">
                  <c:v>0.09</c:v>
                </c:pt>
                <c:pt idx="13">
                  <c:v>0.09</c:v>
                </c:pt>
                <c:pt idx="14">
                  <c:v>0.11</c:v>
                </c:pt>
                <c:pt idx="15">
                  <c:v>0.19</c:v>
                </c:pt>
                <c:pt idx="16">
                  <c:v>0.28999999999999998</c:v>
                </c:pt>
                <c:pt idx="17">
                  <c:v>0.31</c:v>
                </c:pt>
                <c:pt idx="18">
                  <c:v>0.4</c:v>
                </c:pt>
                <c:pt idx="19">
                  <c:v>0.41</c:v>
                </c:pt>
                <c:pt idx="20">
                  <c:v>0.21</c:v>
                </c:pt>
                <c:pt idx="21">
                  <c:v>0.31</c:v>
                </c:pt>
                <c:pt idx="22">
                  <c:v>0.41</c:v>
                </c:pt>
                <c:pt idx="23">
                  <c:v>0.51</c:v>
                </c:pt>
                <c:pt idx="24">
                  <c:v>0.22</c:v>
                </c:pt>
                <c:pt idx="25">
                  <c:v>0.26</c:v>
                </c:pt>
                <c:pt idx="26">
                  <c:v>0.36</c:v>
                </c:pt>
                <c:pt idx="27">
                  <c:v>0.46</c:v>
                </c:pt>
                <c:pt idx="28">
                  <c:v>0.51</c:v>
                </c:pt>
                <c:pt idx="33">
                  <c:v>0.1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0.73</c:v>
                </c:pt>
                <c:pt idx="38">
                  <c:v>0.61</c:v>
                </c:pt>
                <c:pt idx="39">
                  <c:v>5.3081052066559324E-2</c:v>
                </c:pt>
                <c:pt idx="40">
                  <c:v>0.10184034966643664</c:v>
                </c:pt>
                <c:pt idx="41">
                  <c:v>0.1917989417989418</c:v>
                </c:pt>
                <c:pt idx="42">
                  <c:v>0.29827191166321598</c:v>
                </c:pt>
                <c:pt idx="43">
                  <c:v>0.4113419216317768</c:v>
                </c:pt>
                <c:pt idx="44">
                  <c:v>0.49603174603174605</c:v>
                </c:pt>
                <c:pt idx="45">
                  <c:v>0.60226293995859215</c:v>
                </c:pt>
                <c:pt idx="46">
                  <c:v>0.1</c:v>
                </c:pt>
                <c:pt idx="47">
                  <c:v>0.2</c:v>
                </c:pt>
                <c:pt idx="48">
                  <c:v>0.3</c:v>
                </c:pt>
                <c:pt idx="49">
                  <c:v>0.4</c:v>
                </c:pt>
                <c:pt idx="50">
                  <c:v>0.85</c:v>
                </c:pt>
                <c:pt idx="51">
                  <c:v>0.12</c:v>
                </c:pt>
                <c:pt idx="52" formatCode="General">
                  <c:v>0.69</c:v>
                </c:pt>
                <c:pt idx="53" formatCode="General">
                  <c:v>0.59</c:v>
                </c:pt>
                <c:pt idx="54" formatCode="General">
                  <c:v>0.61</c:v>
                </c:pt>
                <c:pt idx="55" formatCode="General">
                  <c:v>0.73</c:v>
                </c:pt>
                <c:pt idx="56" formatCode="General">
                  <c:v>0.65</c:v>
                </c:pt>
              </c:numCache>
            </c:numRef>
          </c:xVal>
          <c:yVal>
            <c:numRef>
              <c:f>Summary!$D$6:$D$62</c:f>
              <c:numCache>
                <c:formatCode>0.00000</c:formatCode>
                <c:ptCount val="57"/>
                <c:pt idx="0">
                  <c:v>0.44</c:v>
                </c:pt>
                <c:pt idx="1">
                  <c:v>0.4</c:v>
                </c:pt>
                <c:pt idx="2">
                  <c:v>0.46</c:v>
                </c:pt>
                <c:pt idx="3">
                  <c:v>0.41</c:v>
                </c:pt>
                <c:pt idx="4">
                  <c:v>0.44</c:v>
                </c:pt>
                <c:pt idx="5">
                  <c:v>0.42</c:v>
                </c:pt>
                <c:pt idx="6">
                  <c:v>0.43</c:v>
                </c:pt>
                <c:pt idx="7">
                  <c:v>0.41</c:v>
                </c:pt>
                <c:pt idx="8">
                  <c:v>0.48</c:v>
                </c:pt>
                <c:pt idx="9">
                  <c:v>0.24663953631767174</c:v>
                </c:pt>
                <c:pt idx="10">
                  <c:v>0.23122456529781726</c:v>
                </c:pt>
                <c:pt idx="11">
                  <c:v>0.30269397638986983</c:v>
                </c:pt>
                <c:pt idx="12">
                  <c:v>0.29379121237840305</c:v>
                </c:pt>
                <c:pt idx="13">
                  <c:v>0.27746947835738067</c:v>
                </c:pt>
                <c:pt idx="14">
                  <c:v>0.30521642619311878</c:v>
                </c:pt>
                <c:pt idx="15">
                  <c:v>0.3765657206278738</c:v>
                </c:pt>
                <c:pt idx="16">
                  <c:v>0.38317213677923995</c:v>
                </c:pt>
                <c:pt idx="17">
                  <c:v>0.37398060126429578</c:v>
                </c:pt>
                <c:pt idx="18">
                  <c:v>0.38943084681737644</c:v>
                </c:pt>
                <c:pt idx="19">
                  <c:v>0.39228443491905546</c:v>
                </c:pt>
                <c:pt idx="20">
                  <c:v>0.43810970266954841</c:v>
                </c:pt>
                <c:pt idx="21">
                  <c:v>0.45152513538471395</c:v>
                </c:pt>
                <c:pt idx="22">
                  <c:v>0.46339098218544222</c:v>
                </c:pt>
                <c:pt idx="23">
                  <c:v>0.45355587808417991</c:v>
                </c:pt>
                <c:pt idx="24">
                  <c:v>0.43916032545772488</c:v>
                </c:pt>
                <c:pt idx="25">
                  <c:v>0.44395116537180912</c:v>
                </c:pt>
                <c:pt idx="26">
                  <c:v>0.45820647802136255</c:v>
                </c:pt>
                <c:pt idx="27">
                  <c:v>0.46244913059563453</c:v>
                </c:pt>
                <c:pt idx="28">
                  <c:v>0.45355587808417991</c:v>
                </c:pt>
                <c:pt idx="33">
                  <c:v>0.36509141889129043</c:v>
                </c:pt>
                <c:pt idx="34">
                  <c:v>0.44934328478928043</c:v>
                </c:pt>
                <c:pt idx="35">
                  <c:v>0.39172161650453741</c:v>
                </c:pt>
                <c:pt idx="36">
                  <c:v>0.39287713749717623</c:v>
                </c:pt>
                <c:pt idx="37">
                  <c:v>0.42508440545831672</c:v>
                </c:pt>
                <c:pt idx="38">
                  <c:v>0.50904174976842764</c:v>
                </c:pt>
                <c:pt idx="39">
                  <c:v>0.42098765432098767</c:v>
                </c:pt>
                <c:pt idx="40">
                  <c:v>0.46913580246913578</c:v>
                </c:pt>
                <c:pt idx="41">
                  <c:v>0.49407407407407405</c:v>
                </c:pt>
                <c:pt idx="42">
                  <c:v>0.49481481481481482</c:v>
                </c:pt>
                <c:pt idx="43">
                  <c:v>0.48641975308641977</c:v>
                </c:pt>
                <c:pt idx="44">
                  <c:v>0.46296296296296297</c:v>
                </c:pt>
                <c:pt idx="45">
                  <c:v>0.42444444444444446</c:v>
                </c:pt>
                <c:pt idx="46">
                  <c:v>0.36509141889129043</c:v>
                </c:pt>
                <c:pt idx="47">
                  <c:v>0.44934328478928043</c:v>
                </c:pt>
                <c:pt idx="48">
                  <c:v>0.39172161650453741</c:v>
                </c:pt>
                <c:pt idx="49">
                  <c:v>0.39287713749717623</c:v>
                </c:pt>
                <c:pt idx="50">
                  <c:v>0.42</c:v>
                </c:pt>
                <c:pt idx="51">
                  <c:v>0.28999999999999998</c:v>
                </c:pt>
                <c:pt idx="52" formatCode="General">
                  <c:v>0.44576004672082115</c:v>
                </c:pt>
                <c:pt idx="53" formatCode="General">
                  <c:v>0.41922405180756617</c:v>
                </c:pt>
                <c:pt idx="54" formatCode="General">
                  <c:v>0.44895591988860001</c:v>
                </c:pt>
                <c:pt idx="55" formatCode="General">
                  <c:v>0.42508440545831672</c:v>
                </c:pt>
                <c:pt idx="56" formatCode="General">
                  <c:v>0.37379307965242992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4-47B4-AEA8-01348E239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610896"/>
        <c:axId val="735611224"/>
      </c:scatterChart>
      <c:valAx>
        <c:axId val="73561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11224"/>
        <c:crosses val="autoZero"/>
        <c:crossBetween val="midCat"/>
      </c:valAx>
      <c:valAx>
        <c:axId val="73561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1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CO2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Summary!$B$6:$B$57</c:f>
              <c:numCache>
                <c:formatCode>0.00000</c:formatCode>
                <c:ptCount val="52"/>
                <c:pt idx="0">
                  <c:v>0.24</c:v>
                </c:pt>
                <c:pt idx="1">
                  <c:v>0.24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0.51</c:v>
                </c:pt>
                <c:pt idx="7">
                  <c:v>0.51</c:v>
                </c:pt>
                <c:pt idx="8">
                  <c:v>0.65</c:v>
                </c:pt>
                <c:pt idx="9">
                  <c:v>0.04</c:v>
                </c:pt>
                <c:pt idx="10">
                  <c:v>0.05</c:v>
                </c:pt>
                <c:pt idx="11">
                  <c:v>0.06</c:v>
                </c:pt>
                <c:pt idx="12">
                  <c:v>0.09</c:v>
                </c:pt>
                <c:pt idx="13">
                  <c:v>0.09</c:v>
                </c:pt>
                <c:pt idx="14">
                  <c:v>0.11</c:v>
                </c:pt>
                <c:pt idx="15">
                  <c:v>0.19</c:v>
                </c:pt>
                <c:pt idx="16">
                  <c:v>0.28999999999999998</c:v>
                </c:pt>
                <c:pt idx="17">
                  <c:v>0.31</c:v>
                </c:pt>
                <c:pt idx="18">
                  <c:v>0.4</c:v>
                </c:pt>
                <c:pt idx="19">
                  <c:v>0.41</c:v>
                </c:pt>
                <c:pt idx="20">
                  <c:v>0.21</c:v>
                </c:pt>
                <c:pt idx="21">
                  <c:v>0.31</c:v>
                </c:pt>
                <c:pt idx="22">
                  <c:v>0.41</c:v>
                </c:pt>
                <c:pt idx="23">
                  <c:v>0.51</c:v>
                </c:pt>
                <c:pt idx="24">
                  <c:v>0.22</c:v>
                </c:pt>
                <c:pt idx="25">
                  <c:v>0.26</c:v>
                </c:pt>
                <c:pt idx="26">
                  <c:v>0.36</c:v>
                </c:pt>
                <c:pt idx="27">
                  <c:v>0.46</c:v>
                </c:pt>
                <c:pt idx="28">
                  <c:v>0.51</c:v>
                </c:pt>
                <c:pt idx="33">
                  <c:v>0.1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0.73</c:v>
                </c:pt>
                <c:pt idx="38">
                  <c:v>0.61</c:v>
                </c:pt>
                <c:pt idx="39">
                  <c:v>5.3081052066559324E-2</c:v>
                </c:pt>
                <c:pt idx="40">
                  <c:v>0.10184034966643664</c:v>
                </c:pt>
                <c:pt idx="41">
                  <c:v>0.1917989417989418</c:v>
                </c:pt>
                <c:pt idx="42">
                  <c:v>0.29827191166321598</c:v>
                </c:pt>
                <c:pt idx="43">
                  <c:v>0.4113419216317768</c:v>
                </c:pt>
                <c:pt idx="44">
                  <c:v>0.49603174603174605</c:v>
                </c:pt>
                <c:pt idx="45">
                  <c:v>0.60226293995859215</c:v>
                </c:pt>
                <c:pt idx="46">
                  <c:v>0.1</c:v>
                </c:pt>
                <c:pt idx="47">
                  <c:v>0.2</c:v>
                </c:pt>
                <c:pt idx="48">
                  <c:v>0.3</c:v>
                </c:pt>
                <c:pt idx="49">
                  <c:v>0.4</c:v>
                </c:pt>
                <c:pt idx="50">
                  <c:v>0.85</c:v>
                </c:pt>
                <c:pt idx="51">
                  <c:v>0.12</c:v>
                </c:pt>
              </c:numCache>
            </c:numRef>
          </c:xVal>
          <c:yVal>
            <c:numRef>
              <c:f>Summary!$H$6:$H$57</c:f>
              <c:numCache>
                <c:formatCode>0.00000</c:formatCode>
                <c:ptCount val="52"/>
                <c:pt idx="0">
                  <c:v>6.6143999999999998</c:v>
                </c:pt>
                <c:pt idx="1">
                  <c:v>7.2287999999999997</c:v>
                </c:pt>
                <c:pt idx="2">
                  <c:v>8.2650000000000006</c:v>
                </c:pt>
                <c:pt idx="3">
                  <c:v>8.157</c:v>
                </c:pt>
                <c:pt idx="4">
                  <c:v>10.496</c:v>
                </c:pt>
                <c:pt idx="5">
                  <c:v>9.5440000000000005</c:v>
                </c:pt>
                <c:pt idx="7">
                  <c:v>10.806900000000001</c:v>
                </c:pt>
                <c:pt idx="39">
                  <c:v>1.9871489766777723</c:v>
                </c:pt>
                <c:pt idx="40">
                  <c:v>2.8081865778200856</c:v>
                </c:pt>
                <c:pt idx="41">
                  <c:v>4.5311756306520703</c:v>
                </c:pt>
                <c:pt idx="42">
                  <c:v>6.5909090909090908</c:v>
                </c:pt>
                <c:pt idx="43">
                  <c:v>8.6899095668729167</c:v>
                </c:pt>
                <c:pt idx="44">
                  <c:v>10.298667301285102</c:v>
                </c:pt>
                <c:pt idx="45">
                  <c:v>8.5768681580199893</c:v>
                </c:pt>
                <c:pt idx="46">
                  <c:v>4.6967999999999996</c:v>
                </c:pt>
                <c:pt idx="47">
                  <c:v>6.8913000000000002</c:v>
                </c:pt>
                <c:pt idx="48">
                  <c:v>13.107000000000001</c:v>
                </c:pt>
                <c:pt idx="49">
                  <c:v>17.3568</c:v>
                </c:pt>
                <c:pt idx="50">
                  <c:v>19.600000000000001</c:v>
                </c:pt>
                <c:pt idx="5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6-4C2C-9C1D-69B5964DC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809488"/>
        <c:axId val="575810128"/>
      </c:scatterChart>
      <c:valAx>
        <c:axId val="57580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10128"/>
        <c:crosses val="autoZero"/>
        <c:crossBetween val="midCat"/>
      </c:valAx>
      <c:valAx>
        <c:axId val="5758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0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O2 uptake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Summary!$B$6:$B$57</c:f>
              <c:numCache>
                <c:formatCode>0.00000</c:formatCode>
                <c:ptCount val="52"/>
                <c:pt idx="0">
                  <c:v>0.24</c:v>
                </c:pt>
                <c:pt idx="1">
                  <c:v>0.24</c:v>
                </c:pt>
                <c:pt idx="2">
                  <c:v>0.3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0.51</c:v>
                </c:pt>
                <c:pt idx="7">
                  <c:v>0.51</c:v>
                </c:pt>
                <c:pt idx="8">
                  <c:v>0.65</c:v>
                </c:pt>
                <c:pt idx="9">
                  <c:v>0.04</c:v>
                </c:pt>
                <c:pt idx="10">
                  <c:v>0.05</c:v>
                </c:pt>
                <c:pt idx="11">
                  <c:v>0.06</c:v>
                </c:pt>
                <c:pt idx="12">
                  <c:v>0.09</c:v>
                </c:pt>
                <c:pt idx="13">
                  <c:v>0.09</c:v>
                </c:pt>
                <c:pt idx="14">
                  <c:v>0.11</c:v>
                </c:pt>
                <c:pt idx="15">
                  <c:v>0.19</c:v>
                </c:pt>
                <c:pt idx="16">
                  <c:v>0.28999999999999998</c:v>
                </c:pt>
                <c:pt idx="17">
                  <c:v>0.31</c:v>
                </c:pt>
                <c:pt idx="18">
                  <c:v>0.4</c:v>
                </c:pt>
                <c:pt idx="19">
                  <c:v>0.41</c:v>
                </c:pt>
                <c:pt idx="20">
                  <c:v>0.21</c:v>
                </c:pt>
                <c:pt idx="21">
                  <c:v>0.31</c:v>
                </c:pt>
                <c:pt idx="22">
                  <c:v>0.41</c:v>
                </c:pt>
                <c:pt idx="23">
                  <c:v>0.51</c:v>
                </c:pt>
                <c:pt idx="24">
                  <c:v>0.22</c:v>
                </c:pt>
                <c:pt idx="25">
                  <c:v>0.26</c:v>
                </c:pt>
                <c:pt idx="26">
                  <c:v>0.36</c:v>
                </c:pt>
                <c:pt idx="27">
                  <c:v>0.46</c:v>
                </c:pt>
                <c:pt idx="28">
                  <c:v>0.51</c:v>
                </c:pt>
                <c:pt idx="33">
                  <c:v>0.1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0.73</c:v>
                </c:pt>
                <c:pt idx="38">
                  <c:v>0.61</c:v>
                </c:pt>
                <c:pt idx="39">
                  <c:v>5.3081052066559324E-2</c:v>
                </c:pt>
                <c:pt idx="40">
                  <c:v>0.10184034966643664</c:v>
                </c:pt>
                <c:pt idx="41">
                  <c:v>0.1917989417989418</c:v>
                </c:pt>
                <c:pt idx="42">
                  <c:v>0.29827191166321598</c:v>
                </c:pt>
                <c:pt idx="43">
                  <c:v>0.4113419216317768</c:v>
                </c:pt>
                <c:pt idx="44">
                  <c:v>0.49603174603174605</c:v>
                </c:pt>
                <c:pt idx="45">
                  <c:v>0.60226293995859215</c:v>
                </c:pt>
                <c:pt idx="46">
                  <c:v>0.1</c:v>
                </c:pt>
                <c:pt idx="47">
                  <c:v>0.2</c:v>
                </c:pt>
                <c:pt idx="48">
                  <c:v>0.3</c:v>
                </c:pt>
                <c:pt idx="49">
                  <c:v>0.4</c:v>
                </c:pt>
                <c:pt idx="50">
                  <c:v>0.85</c:v>
                </c:pt>
                <c:pt idx="51">
                  <c:v>0.12</c:v>
                </c:pt>
              </c:numCache>
            </c:numRef>
          </c:xVal>
          <c:yVal>
            <c:numRef>
              <c:f>Summary!$I$6:$I$57</c:f>
              <c:numCache>
                <c:formatCode>0.00000</c:formatCode>
                <c:ptCount val="52"/>
                <c:pt idx="39">
                  <c:v>2.1618357487922704</c:v>
                </c:pt>
                <c:pt idx="40">
                  <c:v>2.8864734299516908</c:v>
                </c:pt>
                <c:pt idx="41">
                  <c:v>4.7463768115942031</c:v>
                </c:pt>
                <c:pt idx="42">
                  <c:v>10</c:v>
                </c:pt>
                <c:pt idx="43">
                  <c:v>10.640096618357488</c:v>
                </c:pt>
                <c:pt idx="44">
                  <c:v>15.374396135265702</c:v>
                </c:pt>
                <c:pt idx="45">
                  <c:v>13.188405797101451</c:v>
                </c:pt>
                <c:pt idx="46">
                  <c:v>4.75</c:v>
                </c:pt>
                <c:pt idx="47">
                  <c:v>6.64</c:v>
                </c:pt>
                <c:pt idx="48">
                  <c:v>12.58</c:v>
                </c:pt>
                <c:pt idx="49">
                  <c:v>16.82</c:v>
                </c:pt>
                <c:pt idx="50">
                  <c:v>18.8</c:v>
                </c:pt>
                <c:pt idx="51">
                  <c:v>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2-4CB7-B01C-DFF24822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809488"/>
        <c:axId val="575810128"/>
      </c:scatterChart>
      <c:valAx>
        <c:axId val="57580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10128"/>
        <c:crosses val="autoZero"/>
        <c:crossBetween val="midCat"/>
      </c:valAx>
      <c:valAx>
        <c:axId val="5758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0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4</xdr:row>
      <xdr:rowOff>128587</xdr:rowOff>
    </xdr:from>
    <xdr:to>
      <xdr:col>16</xdr:col>
      <xdr:colOff>152400</xdr:colOff>
      <xdr:row>19</xdr:row>
      <xdr:rowOff>14287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95D4D93-DB79-433A-A960-9B7931982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8164</xdr:colOff>
      <xdr:row>3</xdr:row>
      <xdr:rowOff>157162</xdr:rowOff>
    </xdr:from>
    <xdr:to>
      <xdr:col>19</xdr:col>
      <xdr:colOff>8164</xdr:colOff>
      <xdr:row>18</xdr:row>
      <xdr:rowOff>42862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8193C99-DDA8-4092-9028-229785C74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55789</xdr:colOff>
      <xdr:row>19</xdr:row>
      <xdr:rowOff>180975</xdr:rowOff>
    </xdr:from>
    <xdr:to>
      <xdr:col>19</xdr:col>
      <xdr:colOff>55789</xdr:colOff>
      <xdr:row>34</xdr:row>
      <xdr:rowOff>66675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4E739D0-AB1B-4F3D-8585-14BCC0E99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761199</xdr:colOff>
      <xdr:row>35</xdr:row>
      <xdr:rowOff>168088</xdr:rowOff>
    </xdr:from>
    <xdr:to>
      <xdr:col>18</xdr:col>
      <xdr:colOff>761199</xdr:colOff>
      <xdr:row>50</xdr:row>
      <xdr:rowOff>53788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91CD9EE-184E-4E75-B742-1D0FEB616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45358</xdr:colOff>
      <xdr:row>51</xdr:row>
      <xdr:rowOff>138793</xdr:rowOff>
    </xdr:from>
    <xdr:to>
      <xdr:col>19</xdr:col>
      <xdr:colOff>45358</xdr:colOff>
      <xdr:row>66</xdr:row>
      <xdr:rowOff>160564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355C1F2-4ACB-4119-BF8D-3C474FD05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31751</xdr:colOff>
      <xdr:row>69</xdr:row>
      <xdr:rowOff>63501</xdr:rowOff>
    </xdr:from>
    <xdr:to>
      <xdr:col>19</xdr:col>
      <xdr:colOff>31751</xdr:colOff>
      <xdr:row>84</xdr:row>
      <xdr:rowOff>85272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35F696C5-18C2-4ACF-827F-65961B0FE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i.org/10.1002/bit.25133" TargetMode="External"/><Relationship Id="rId1" Type="http://schemas.openxmlformats.org/officeDocument/2006/relationships/hyperlink" Target="https://doi.org/10.1002/bit.25133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D92C-2285-4719-B504-7CE251364943}">
  <dimension ref="A1:I32"/>
  <sheetViews>
    <sheetView workbookViewId="0">
      <selection activeCell="C16" sqref="C16"/>
    </sheetView>
  </sheetViews>
  <sheetFormatPr baseColWidth="10" defaultRowHeight="15" x14ac:dyDescent="0.25"/>
  <cols>
    <col min="2" max="2" width="16.5703125" bestFit="1" customWidth="1"/>
    <col min="3" max="3" width="17.28515625" bestFit="1" customWidth="1"/>
    <col min="4" max="4" width="31.28515625" bestFit="1" customWidth="1"/>
    <col min="5" max="5" width="28" bestFit="1" customWidth="1"/>
    <col min="6" max="6" width="28" customWidth="1"/>
    <col min="7" max="7" width="13.7109375" bestFit="1" customWidth="1"/>
    <col min="8" max="8" width="13.28515625" bestFit="1" customWidth="1"/>
  </cols>
  <sheetData>
    <row r="1" spans="1:9" x14ac:dyDescent="0.25">
      <c r="A1" s="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18</v>
      </c>
    </row>
    <row r="5" spans="1:9" x14ac:dyDescent="0.25">
      <c r="B5" s="3" t="s">
        <v>3</v>
      </c>
      <c r="C5" s="3" t="s">
        <v>11</v>
      </c>
      <c r="D5" s="3" t="s">
        <v>4</v>
      </c>
      <c r="E5" s="3" t="s">
        <v>5</v>
      </c>
      <c r="F5" s="3" t="s">
        <v>16</v>
      </c>
      <c r="G5" s="3" t="s">
        <v>6</v>
      </c>
      <c r="H5" s="4" t="s">
        <v>12</v>
      </c>
      <c r="I5" s="4" t="s">
        <v>20</v>
      </c>
    </row>
    <row r="6" spans="1:9" x14ac:dyDescent="0.25">
      <c r="B6" s="2">
        <v>0.51</v>
      </c>
      <c r="C6" s="2">
        <v>0.43</v>
      </c>
      <c r="D6" s="2">
        <f>B6/(C6*0.18056)</f>
        <v>6.5687112961226575</v>
      </c>
      <c r="E6" s="2">
        <f>3.25*B6</f>
        <v>1.6575</v>
      </c>
      <c r="F6" s="2"/>
      <c r="G6" s="2" t="s">
        <v>7</v>
      </c>
    </row>
    <row r="7" spans="1:9" x14ac:dyDescent="0.25">
      <c r="B7" s="2">
        <v>0.68</v>
      </c>
      <c r="C7" s="5">
        <f>B7/(D7*0.18056)</f>
        <v>0.3586724898200308</v>
      </c>
      <c r="D7" s="2">
        <v>10.5</v>
      </c>
      <c r="E7" s="2">
        <v>4</v>
      </c>
      <c r="F7" s="2">
        <v>15</v>
      </c>
      <c r="G7" s="2" t="s">
        <v>8</v>
      </c>
      <c r="H7" t="s">
        <v>15</v>
      </c>
      <c r="I7" t="s">
        <v>21</v>
      </c>
    </row>
    <row r="8" spans="1:9" x14ac:dyDescent="0.25">
      <c r="B8" s="2">
        <v>0.55000000000000004</v>
      </c>
      <c r="C8" s="6">
        <f>(13.3*6)/180.56</f>
        <v>0.44195835179441745</v>
      </c>
      <c r="D8" s="5">
        <f>B8/(C8*0.18056)</f>
        <v>6.8922305764411025</v>
      </c>
      <c r="E8" s="2" t="s">
        <v>10</v>
      </c>
      <c r="F8" s="2"/>
      <c r="G8" s="2" t="s">
        <v>9</v>
      </c>
    </row>
    <row r="9" spans="1:9" x14ac:dyDescent="0.25">
      <c r="B9" s="2">
        <v>0.63300000000000001</v>
      </c>
      <c r="C9" s="2">
        <v>0.41399999999999998</v>
      </c>
      <c r="D9" s="5">
        <v>8.4779999999999998</v>
      </c>
      <c r="E9" s="2">
        <v>6.0510000000000002</v>
      </c>
      <c r="F9" s="5">
        <v>38.74</v>
      </c>
      <c r="G9" s="2" t="s">
        <v>17</v>
      </c>
      <c r="H9" t="s">
        <v>19</v>
      </c>
    </row>
    <row r="10" spans="1:9" x14ac:dyDescent="0.25">
      <c r="B10" s="2">
        <v>0.69</v>
      </c>
      <c r="C10" s="2">
        <v>0.44</v>
      </c>
      <c r="D10" s="2">
        <v>8.59</v>
      </c>
      <c r="E10" s="2">
        <v>3.91</v>
      </c>
      <c r="F10" s="2"/>
      <c r="G10" s="2" t="s">
        <v>13</v>
      </c>
      <c r="H10" t="s">
        <v>14</v>
      </c>
    </row>
    <row r="11" spans="1:9" x14ac:dyDescent="0.25">
      <c r="B11" s="2"/>
      <c r="C11" s="2"/>
      <c r="D11" s="2"/>
      <c r="E11" s="2"/>
      <c r="F11" s="2"/>
      <c r="G11" s="2"/>
    </row>
    <row r="12" spans="1:9" x14ac:dyDescent="0.25">
      <c r="B12" s="2"/>
      <c r="C12" s="2"/>
      <c r="D12" s="2"/>
      <c r="E12" s="2"/>
      <c r="F12" s="2"/>
      <c r="G12" s="2"/>
    </row>
    <row r="13" spans="1:9" x14ac:dyDescent="0.25">
      <c r="B13" s="2"/>
      <c r="C13" s="2"/>
      <c r="D13" s="2"/>
      <c r="E13" s="2"/>
      <c r="F13" s="2"/>
      <c r="G13" s="2"/>
    </row>
    <row r="14" spans="1:9" x14ac:dyDescent="0.25">
      <c r="B14" s="2"/>
      <c r="C14" s="2"/>
      <c r="D14" s="2"/>
      <c r="E14" s="2"/>
      <c r="F14" s="2"/>
      <c r="G14" s="2"/>
    </row>
    <row r="15" spans="1:9" x14ac:dyDescent="0.25">
      <c r="B15" s="2"/>
      <c r="C15" s="2"/>
      <c r="D15" s="2"/>
      <c r="E15" s="2"/>
      <c r="F15" s="2"/>
      <c r="G15" s="2"/>
    </row>
    <row r="16" spans="1:9" x14ac:dyDescent="0.25">
      <c r="B16" s="2"/>
      <c r="C16" s="2"/>
      <c r="D16" s="2"/>
      <c r="E16" s="2"/>
      <c r="F16" s="2"/>
      <c r="G16" s="2"/>
    </row>
    <row r="17" spans="2:7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2"/>
      <c r="D18" s="2"/>
      <c r="E18" s="2"/>
      <c r="F18" s="2"/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  <row r="22" spans="2:7" x14ac:dyDescent="0.25">
      <c r="B22" s="2"/>
      <c r="C22" s="2"/>
      <c r="D22" s="2"/>
      <c r="E22" s="2"/>
      <c r="F22" s="2"/>
      <c r="G22" s="2"/>
    </row>
    <row r="23" spans="2:7" x14ac:dyDescent="0.25">
      <c r="B23" s="2"/>
      <c r="C23" s="2"/>
      <c r="D23" s="2"/>
      <c r="E23" s="2"/>
      <c r="F23" s="2"/>
      <c r="G23" s="2"/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  <row r="28" spans="2:7" x14ac:dyDescent="0.25">
      <c r="B28" s="2"/>
      <c r="C28" s="2"/>
      <c r="D28" s="2"/>
      <c r="E28" s="2"/>
      <c r="F28" s="2"/>
      <c r="G28" s="2"/>
    </row>
    <row r="29" spans="2:7" x14ac:dyDescent="0.25">
      <c r="B29" s="2"/>
      <c r="C29" s="2"/>
      <c r="D29" s="2"/>
      <c r="E29" s="2"/>
      <c r="F29" s="2"/>
      <c r="G29" s="2"/>
    </row>
    <row r="30" spans="2:7" x14ac:dyDescent="0.25">
      <c r="B30" s="2"/>
      <c r="C30" s="2"/>
      <c r="D30" s="2"/>
      <c r="E30" s="2"/>
      <c r="F30" s="2"/>
      <c r="G30" s="2"/>
    </row>
    <row r="31" spans="2:7" x14ac:dyDescent="0.25">
      <c r="B31" s="2"/>
      <c r="C31" s="2"/>
      <c r="D31" s="2"/>
      <c r="E31" s="2"/>
      <c r="F31" s="2"/>
      <c r="G31" s="2"/>
    </row>
    <row r="32" spans="2:7" x14ac:dyDescent="0.25">
      <c r="B32" s="2"/>
      <c r="C32" s="2"/>
      <c r="D32" s="2"/>
      <c r="E32" s="2"/>
      <c r="F32" s="2"/>
      <c r="G32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AEE1-B0FA-4DBB-AB8F-0411EBC080C0}">
  <dimension ref="A1:I14"/>
  <sheetViews>
    <sheetView workbookViewId="0">
      <selection activeCell="F26" sqref="F26"/>
    </sheetView>
  </sheetViews>
  <sheetFormatPr baseColWidth="10" defaultRowHeight="15" x14ac:dyDescent="0.25"/>
  <cols>
    <col min="3" max="3" width="14.5703125" bestFit="1" customWidth="1"/>
    <col min="4" max="4" width="13.140625" bestFit="1" customWidth="1"/>
    <col min="5" max="5" width="16.7109375" bestFit="1" customWidth="1"/>
    <col min="6" max="6" width="20.5703125" bestFit="1" customWidth="1"/>
    <col min="8" max="8" width="17.28515625" bestFit="1" customWidth="1"/>
  </cols>
  <sheetData>
    <row r="1" spans="1:9" x14ac:dyDescent="0.25">
      <c r="A1" t="s">
        <v>22</v>
      </c>
    </row>
    <row r="2" spans="1:9" x14ac:dyDescent="0.25">
      <c r="A2" t="s">
        <v>23</v>
      </c>
    </row>
    <row r="3" spans="1:9" x14ac:dyDescent="0.25">
      <c r="A3" t="s">
        <v>26</v>
      </c>
    </row>
    <row r="5" spans="1:9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12</v>
      </c>
    </row>
    <row r="6" spans="1:9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</row>
    <row r="7" spans="1:9" x14ac:dyDescent="0.25">
      <c r="B7" s="7">
        <v>0.24</v>
      </c>
      <c r="C7" s="7">
        <f t="shared" ref="C7:C10" si="0">(B7/D7)/0.1802</f>
        <v>3.3296337402885681</v>
      </c>
      <c r="D7" s="7">
        <v>0.4</v>
      </c>
      <c r="E7" s="7">
        <v>0</v>
      </c>
      <c r="F7" s="7">
        <f t="shared" ref="F7:F10" si="1">E7*B7</f>
        <v>0</v>
      </c>
      <c r="G7" s="7">
        <v>30.12</v>
      </c>
      <c r="H7" s="7">
        <f t="shared" ref="H7:H10" si="2">G7*B7</f>
        <v>7.2287999999999997</v>
      </c>
      <c r="I7" t="s">
        <v>31</v>
      </c>
    </row>
    <row r="8" spans="1:9" x14ac:dyDescent="0.25">
      <c r="B8" s="7">
        <v>0.3</v>
      </c>
      <c r="C8" s="7">
        <f t="shared" si="0"/>
        <v>4.0605289515714249</v>
      </c>
      <c r="D8" s="7">
        <v>0.41</v>
      </c>
      <c r="E8" s="7">
        <v>0.9</v>
      </c>
      <c r="F8" s="7">
        <f t="shared" si="1"/>
        <v>0.27</v>
      </c>
      <c r="G8" s="7">
        <v>27.19</v>
      </c>
      <c r="H8" s="7">
        <f t="shared" si="2"/>
        <v>8.157</v>
      </c>
      <c r="I8" t="s">
        <v>31</v>
      </c>
    </row>
    <row r="9" spans="1:9" x14ac:dyDescent="0.25">
      <c r="B9" s="7">
        <v>0.4</v>
      </c>
      <c r="C9" s="7">
        <f t="shared" si="0"/>
        <v>5.2851329210929654</v>
      </c>
      <c r="D9" s="7">
        <v>0.42</v>
      </c>
      <c r="E9" s="7">
        <v>1.56</v>
      </c>
      <c r="F9" s="7">
        <f t="shared" si="1"/>
        <v>0.62400000000000011</v>
      </c>
      <c r="G9" s="7">
        <v>23.86</v>
      </c>
      <c r="H9" s="7">
        <f t="shared" si="2"/>
        <v>9.5440000000000005</v>
      </c>
      <c r="I9" t="s">
        <v>31</v>
      </c>
    </row>
    <row r="10" spans="1:9" x14ac:dyDescent="0.25">
      <c r="B10" s="7">
        <v>0.51</v>
      </c>
      <c r="C10" s="7">
        <f t="shared" si="0"/>
        <v>6.9028992176714219</v>
      </c>
      <c r="D10" s="7">
        <v>0.41</v>
      </c>
      <c r="E10" s="7">
        <v>3.35</v>
      </c>
      <c r="F10" s="7">
        <f t="shared" si="1"/>
        <v>1.7085000000000001</v>
      </c>
      <c r="G10" s="7">
        <v>21.19</v>
      </c>
      <c r="H10" s="7">
        <f t="shared" si="2"/>
        <v>10.806900000000001</v>
      </c>
      <c r="I10" t="s">
        <v>31</v>
      </c>
    </row>
    <row r="11" spans="1:9" x14ac:dyDescent="0.25">
      <c r="B11" s="7">
        <v>0.24</v>
      </c>
      <c r="C11" s="7">
        <v>3.0269397638986981</v>
      </c>
      <c r="D11" s="7">
        <v>0.44</v>
      </c>
      <c r="E11" s="7">
        <v>0</v>
      </c>
      <c r="F11" s="7">
        <v>0</v>
      </c>
      <c r="G11" s="7">
        <v>27.56</v>
      </c>
      <c r="H11" s="7">
        <v>6.6143999999999998</v>
      </c>
      <c r="I11" t="s">
        <v>32</v>
      </c>
    </row>
    <row r="12" spans="1:9" x14ac:dyDescent="0.25">
      <c r="B12" s="7">
        <v>0.3</v>
      </c>
      <c r="C12" s="7">
        <v>3.6191671090093127</v>
      </c>
      <c r="D12" s="7">
        <v>0.46</v>
      </c>
      <c r="E12" s="7">
        <v>0.53</v>
      </c>
      <c r="F12" s="7">
        <v>0.159</v>
      </c>
      <c r="G12" s="7">
        <v>27.55</v>
      </c>
      <c r="H12" s="7">
        <v>8.2650000000000006</v>
      </c>
      <c r="I12" t="s">
        <v>32</v>
      </c>
    </row>
    <row r="13" spans="1:9" x14ac:dyDescent="0.25">
      <c r="B13" s="7">
        <v>0.4</v>
      </c>
      <c r="C13" s="7">
        <v>5.0448996064978315</v>
      </c>
      <c r="D13" s="7">
        <v>0.44</v>
      </c>
      <c r="E13" s="7">
        <v>1.7</v>
      </c>
      <c r="F13" s="7">
        <v>0.68</v>
      </c>
      <c r="G13" s="7">
        <v>26.24</v>
      </c>
      <c r="H13" s="7">
        <v>10.496</v>
      </c>
      <c r="I13" t="s">
        <v>32</v>
      </c>
    </row>
    <row r="14" spans="1:9" x14ac:dyDescent="0.25">
      <c r="B14" s="7">
        <v>0.51</v>
      </c>
      <c r="C14" s="7">
        <v>6.5818341377797287</v>
      </c>
      <c r="D14" s="7">
        <v>0.43</v>
      </c>
      <c r="E14" s="7">
        <v>3.25</v>
      </c>
      <c r="F14" s="7">
        <v>1.6575</v>
      </c>
      <c r="G14" s="7" t="s">
        <v>38</v>
      </c>
      <c r="H14" s="7" t="s">
        <v>38</v>
      </c>
      <c r="I14" t="s">
        <v>32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8D56-4DE9-474D-9C60-483F5E76038B}">
  <dimension ref="A1:I14"/>
  <sheetViews>
    <sheetView workbookViewId="0"/>
  </sheetViews>
  <sheetFormatPr baseColWidth="10" defaultRowHeight="15" x14ac:dyDescent="0.25"/>
  <cols>
    <col min="3" max="3" width="14.7109375" bestFit="1" customWidth="1"/>
    <col min="4" max="4" width="13.140625" bestFit="1" customWidth="1"/>
    <col min="5" max="5" width="12.7109375" bestFit="1" customWidth="1"/>
    <col min="6" max="6" width="20.5703125" bestFit="1" customWidth="1"/>
  </cols>
  <sheetData>
    <row r="1" spans="1:9" x14ac:dyDescent="0.25">
      <c r="A1" t="s">
        <v>40</v>
      </c>
    </row>
    <row r="2" spans="1:9" x14ac:dyDescent="0.25">
      <c r="A2" t="s">
        <v>41</v>
      </c>
    </row>
    <row r="3" spans="1:9" x14ac:dyDescent="0.25">
      <c r="A3" t="s">
        <v>26</v>
      </c>
    </row>
    <row r="4" spans="1:9" x14ac:dyDescent="0.25">
      <c r="A4" t="s">
        <v>42</v>
      </c>
    </row>
    <row r="5" spans="1:9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12</v>
      </c>
    </row>
    <row r="6" spans="1:9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</row>
    <row r="7" spans="1:9" x14ac:dyDescent="0.25">
      <c r="B7" s="7">
        <v>0.65</v>
      </c>
      <c r="C7" s="7">
        <v>7.6</v>
      </c>
      <c r="D7" s="7">
        <v>0.48</v>
      </c>
      <c r="E7" s="7"/>
      <c r="F7" s="7">
        <v>4.8</v>
      </c>
      <c r="G7" s="7"/>
      <c r="H7" s="7"/>
    </row>
    <row r="8" spans="1:9" x14ac:dyDescent="0.25">
      <c r="B8" s="7"/>
      <c r="C8" s="7"/>
      <c r="D8" s="7"/>
      <c r="E8" s="7"/>
      <c r="F8" s="7"/>
      <c r="G8" s="7"/>
      <c r="H8" s="7"/>
    </row>
    <row r="9" spans="1:9" x14ac:dyDescent="0.25">
      <c r="B9" s="7"/>
      <c r="C9" s="7"/>
      <c r="D9" s="7"/>
      <c r="E9" s="7"/>
      <c r="F9" s="7"/>
      <c r="G9" s="7"/>
      <c r="H9" s="7"/>
    </row>
    <row r="10" spans="1:9" x14ac:dyDescent="0.25">
      <c r="B10" s="7"/>
      <c r="C10" s="7"/>
      <c r="D10" s="7"/>
      <c r="E10" s="7"/>
      <c r="F10" s="7"/>
      <c r="G10" s="7"/>
      <c r="H10" s="7"/>
    </row>
    <row r="11" spans="1:9" x14ac:dyDescent="0.25">
      <c r="B11" s="7"/>
      <c r="C11" s="7"/>
      <c r="D11" s="7"/>
      <c r="E11" s="7"/>
      <c r="F11" s="7"/>
      <c r="G11" s="7"/>
      <c r="H11" s="7"/>
    </row>
    <row r="12" spans="1:9" x14ac:dyDescent="0.25">
      <c r="B12" s="7"/>
      <c r="C12" s="7"/>
      <c r="D12" s="7"/>
      <c r="E12" s="7"/>
      <c r="F12" s="7"/>
      <c r="G12" s="7"/>
      <c r="H12" s="7"/>
    </row>
    <row r="13" spans="1:9" x14ac:dyDescent="0.25">
      <c r="B13" s="7"/>
      <c r="C13" s="7"/>
      <c r="D13" s="7"/>
      <c r="E13" s="7"/>
      <c r="F13" s="7"/>
      <c r="G13" s="7"/>
      <c r="H13" s="7"/>
    </row>
    <row r="14" spans="1:9" x14ac:dyDescent="0.25">
      <c r="B14" s="7"/>
      <c r="C14" s="7"/>
      <c r="D14" s="7"/>
      <c r="E14" s="7"/>
      <c r="F14" s="7"/>
      <c r="G14" s="7"/>
      <c r="H14" s="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04B1-8B65-4684-AB1F-1CDEDDAB148C}">
  <dimension ref="A1:I17"/>
  <sheetViews>
    <sheetView workbookViewId="0">
      <selection activeCell="K6" sqref="K6"/>
    </sheetView>
  </sheetViews>
  <sheetFormatPr baseColWidth="10" defaultRowHeight="15" x14ac:dyDescent="0.25"/>
  <cols>
    <col min="3" max="3" width="14.7109375" bestFit="1" customWidth="1"/>
    <col min="4" max="4" width="13.140625" bestFit="1" customWidth="1"/>
    <col min="5" max="5" width="12.7109375" bestFit="1" customWidth="1"/>
    <col min="6" max="6" width="20.5703125" bestFit="1" customWidth="1"/>
  </cols>
  <sheetData>
    <row r="1" spans="1:9" x14ac:dyDescent="0.25">
      <c r="A1" t="s">
        <v>22</v>
      </c>
    </row>
    <row r="2" spans="1:9" x14ac:dyDescent="0.25">
      <c r="A2" t="s">
        <v>43</v>
      </c>
    </row>
    <row r="3" spans="1:9" x14ac:dyDescent="0.25">
      <c r="A3" t="s">
        <v>26</v>
      </c>
    </row>
    <row r="4" spans="1:9" x14ac:dyDescent="0.25">
      <c r="A4" t="s">
        <v>42</v>
      </c>
    </row>
    <row r="5" spans="1:9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12</v>
      </c>
    </row>
    <row r="6" spans="1:9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</row>
    <row r="7" spans="1:9" x14ac:dyDescent="0.25">
      <c r="B7" s="7">
        <v>0.04</v>
      </c>
      <c r="C7" s="7">
        <v>0.9</v>
      </c>
      <c r="D7" s="7">
        <f>B7/(C7*0.1802)</f>
        <v>0.24663953631767174</v>
      </c>
      <c r="E7" s="7">
        <v>0</v>
      </c>
      <c r="F7" s="7"/>
      <c r="G7" s="7"/>
      <c r="H7" s="7"/>
    </row>
    <row r="8" spans="1:9" x14ac:dyDescent="0.25">
      <c r="B8" s="7">
        <v>0.05</v>
      </c>
      <c r="C8" s="7">
        <v>1.2</v>
      </c>
      <c r="D8" s="7">
        <f t="shared" ref="D8:D17" si="0">B8/(C8*0.1802)</f>
        <v>0.23122456529781726</v>
      </c>
      <c r="E8" s="7">
        <v>0</v>
      </c>
      <c r="F8" s="7"/>
      <c r="G8" s="7"/>
      <c r="H8" s="7"/>
    </row>
    <row r="9" spans="1:9" x14ac:dyDescent="0.25">
      <c r="B9" s="7">
        <v>0.06</v>
      </c>
      <c r="C9" s="7">
        <v>1.1000000000000001</v>
      </c>
      <c r="D9" s="7">
        <f t="shared" si="0"/>
        <v>0.30269397638986983</v>
      </c>
      <c r="E9" s="7">
        <v>0</v>
      </c>
      <c r="F9" s="7"/>
      <c r="G9" s="7"/>
      <c r="H9" s="7"/>
    </row>
    <row r="10" spans="1:9" x14ac:dyDescent="0.25">
      <c r="B10" s="7">
        <v>0.09</v>
      </c>
      <c r="C10" s="7">
        <v>1.7</v>
      </c>
      <c r="D10" s="7">
        <f t="shared" si="0"/>
        <v>0.29379121237840305</v>
      </c>
      <c r="E10" s="7">
        <v>0</v>
      </c>
      <c r="F10" s="7"/>
      <c r="G10" s="7"/>
      <c r="H10" s="7"/>
    </row>
    <row r="11" spans="1:9" x14ac:dyDescent="0.25">
      <c r="B11" s="7">
        <v>0.09</v>
      </c>
      <c r="C11" s="7">
        <v>1.8</v>
      </c>
      <c r="D11" s="7">
        <f t="shared" si="0"/>
        <v>0.27746947835738067</v>
      </c>
      <c r="E11" s="7">
        <v>0</v>
      </c>
      <c r="F11" s="7"/>
      <c r="G11" s="7"/>
      <c r="H11" s="7"/>
    </row>
    <row r="12" spans="1:9" x14ac:dyDescent="0.25">
      <c r="B12" s="7">
        <v>0.11</v>
      </c>
      <c r="C12" s="7">
        <v>2</v>
      </c>
      <c r="D12" s="7">
        <f t="shared" si="0"/>
        <v>0.30521642619311878</v>
      </c>
      <c r="E12" s="7">
        <v>0</v>
      </c>
      <c r="F12" s="7"/>
      <c r="G12" s="7"/>
      <c r="H12" s="7"/>
    </row>
    <row r="13" spans="1:9" x14ac:dyDescent="0.25">
      <c r="B13" s="7">
        <v>0.19</v>
      </c>
      <c r="C13" s="7">
        <v>2.8</v>
      </c>
      <c r="D13" s="7">
        <f t="shared" si="0"/>
        <v>0.3765657206278738</v>
      </c>
      <c r="E13" s="7">
        <v>0</v>
      </c>
      <c r="F13" s="7"/>
      <c r="G13" s="7"/>
      <c r="H13" s="7"/>
    </row>
    <row r="14" spans="1:9" x14ac:dyDescent="0.25">
      <c r="B14" s="7">
        <v>0.28999999999999998</v>
      </c>
      <c r="C14" s="7">
        <v>4.2</v>
      </c>
      <c r="D14" s="7">
        <f t="shared" si="0"/>
        <v>0.38317213677923995</v>
      </c>
      <c r="E14" s="7">
        <v>0</v>
      </c>
      <c r="F14" s="7"/>
      <c r="G14" s="7"/>
      <c r="H14" s="7"/>
    </row>
    <row r="15" spans="1:9" x14ac:dyDescent="0.25">
      <c r="B15" s="7">
        <v>0.31</v>
      </c>
      <c r="C15" s="7">
        <v>4.5999999999999996</v>
      </c>
      <c r="D15" s="7">
        <f t="shared" si="0"/>
        <v>0.37398060126429578</v>
      </c>
      <c r="E15" s="7">
        <v>0</v>
      </c>
    </row>
    <row r="16" spans="1:9" x14ac:dyDescent="0.25">
      <c r="B16" s="7">
        <v>0.4</v>
      </c>
      <c r="C16" s="7">
        <v>5.7</v>
      </c>
      <c r="D16" s="7">
        <f t="shared" si="0"/>
        <v>0.38943084681737644</v>
      </c>
      <c r="E16" s="7">
        <v>0</v>
      </c>
    </row>
    <row r="17" spans="2:5" x14ac:dyDescent="0.25">
      <c r="B17" s="7">
        <v>0.41</v>
      </c>
      <c r="C17" s="7">
        <v>5.8</v>
      </c>
      <c r="D17" s="7">
        <f t="shared" si="0"/>
        <v>0.39228443491905546</v>
      </c>
      <c r="E17" s="7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42E8-1821-4BD2-A803-6C7ACE6B4014}">
  <dimension ref="A1:I17"/>
  <sheetViews>
    <sheetView workbookViewId="0">
      <selection activeCell="D8" sqref="D8"/>
    </sheetView>
  </sheetViews>
  <sheetFormatPr baseColWidth="10" defaultRowHeight="15" x14ac:dyDescent="0.25"/>
  <sheetData>
    <row r="1" spans="1:9" x14ac:dyDescent="0.25">
      <c r="A1" t="s">
        <v>40</v>
      </c>
    </row>
    <row r="2" spans="1:9" x14ac:dyDescent="0.25">
      <c r="A2" t="s">
        <v>45</v>
      </c>
    </row>
    <row r="3" spans="1:9" x14ac:dyDescent="0.25">
      <c r="A3" t="s">
        <v>26</v>
      </c>
    </row>
    <row r="4" spans="1:9" x14ac:dyDescent="0.25">
      <c r="A4" t="s">
        <v>44</v>
      </c>
    </row>
    <row r="5" spans="1:9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12</v>
      </c>
    </row>
    <row r="6" spans="1:9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</row>
    <row r="7" spans="1:9" x14ac:dyDescent="0.25">
      <c r="B7" s="7">
        <v>0.21</v>
      </c>
      <c r="C7" s="7">
        <v>2.66</v>
      </c>
      <c r="D7" s="7">
        <f>B7/(C7*0.1802)</f>
        <v>0.43810970266954841</v>
      </c>
      <c r="E7" s="7"/>
      <c r="F7" s="7"/>
      <c r="G7" s="7"/>
      <c r="H7" s="7"/>
    </row>
    <row r="8" spans="1:9" x14ac:dyDescent="0.25">
      <c r="B8" s="7">
        <v>0.31</v>
      </c>
      <c r="C8" s="7">
        <v>3.81</v>
      </c>
      <c r="D8" s="7">
        <f t="shared" ref="D8:D15" si="0">B8/(C8*0.1802)</f>
        <v>0.45152513538471395</v>
      </c>
      <c r="E8" s="7"/>
      <c r="F8" s="7"/>
      <c r="G8" s="7"/>
      <c r="H8" s="7"/>
    </row>
    <row r="9" spans="1:9" x14ac:dyDescent="0.25">
      <c r="B9" s="7">
        <v>0.41</v>
      </c>
      <c r="C9" s="7">
        <v>4.91</v>
      </c>
      <c r="D9" s="7">
        <f t="shared" si="0"/>
        <v>0.46339098218544222</v>
      </c>
      <c r="E9" s="7"/>
      <c r="F9" s="7"/>
      <c r="G9" s="7"/>
      <c r="H9" s="7"/>
    </row>
    <row r="10" spans="1:9" x14ac:dyDescent="0.25">
      <c r="B10" s="7">
        <v>0.51</v>
      </c>
      <c r="C10" s="7">
        <v>6.24</v>
      </c>
      <c r="D10" s="7">
        <f t="shared" si="0"/>
        <v>0.45355587808417991</v>
      </c>
      <c r="E10" s="7"/>
      <c r="F10" s="7"/>
      <c r="G10" s="7"/>
      <c r="H10" s="7"/>
    </row>
    <row r="11" spans="1:9" x14ac:dyDescent="0.25">
      <c r="B11" s="7">
        <v>0.22</v>
      </c>
      <c r="C11" s="7">
        <v>2.78</v>
      </c>
      <c r="D11" s="7">
        <f t="shared" si="0"/>
        <v>0.43916032545772488</v>
      </c>
      <c r="E11" s="7"/>
      <c r="F11" s="7"/>
      <c r="G11" s="7"/>
      <c r="H11" s="7"/>
    </row>
    <row r="12" spans="1:9" x14ac:dyDescent="0.25">
      <c r="B12" s="7">
        <v>0.26</v>
      </c>
      <c r="C12" s="7">
        <v>3.25</v>
      </c>
      <c r="D12" s="7">
        <f t="shared" si="0"/>
        <v>0.44395116537180912</v>
      </c>
      <c r="E12" s="7"/>
      <c r="F12" s="7"/>
      <c r="G12" s="7"/>
      <c r="H12" s="7"/>
    </row>
    <row r="13" spans="1:9" x14ac:dyDescent="0.25">
      <c r="B13" s="7">
        <v>0.36</v>
      </c>
      <c r="C13" s="7">
        <v>4.3600000000000003</v>
      </c>
      <c r="D13" s="7">
        <f t="shared" si="0"/>
        <v>0.45820647802136255</v>
      </c>
      <c r="E13" s="7"/>
      <c r="F13" s="7"/>
      <c r="G13" s="7"/>
      <c r="H13" s="7"/>
    </row>
    <row r="14" spans="1:9" x14ac:dyDescent="0.25">
      <c r="B14" s="7">
        <v>0.46</v>
      </c>
      <c r="C14" s="7">
        <v>5.52</v>
      </c>
      <c r="D14" s="7">
        <f t="shared" si="0"/>
        <v>0.46244913059563453</v>
      </c>
      <c r="E14" s="7"/>
      <c r="F14" s="7"/>
      <c r="G14" s="7"/>
      <c r="H14" s="7"/>
    </row>
    <row r="15" spans="1:9" x14ac:dyDescent="0.25">
      <c r="B15" s="7">
        <v>0.51</v>
      </c>
      <c r="C15" s="7">
        <v>6.24</v>
      </c>
      <c r="D15" s="7">
        <f t="shared" si="0"/>
        <v>0.45355587808417991</v>
      </c>
      <c r="E15" s="7"/>
    </row>
    <row r="16" spans="1:9" x14ac:dyDescent="0.25">
      <c r="B16" s="7"/>
      <c r="C16" s="7"/>
      <c r="D16" s="7"/>
      <c r="E16" s="7"/>
    </row>
    <row r="17" spans="2:5" x14ac:dyDescent="0.25">
      <c r="B17" s="7"/>
      <c r="C17" s="7"/>
      <c r="D17" s="7"/>
      <c r="E17" s="7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7EB7-6C85-481E-8446-4CBD3D75A8F9}">
  <dimension ref="A1:I16"/>
  <sheetViews>
    <sheetView workbookViewId="0">
      <selection activeCell="E24" sqref="E24"/>
    </sheetView>
  </sheetViews>
  <sheetFormatPr baseColWidth="10" defaultRowHeight="15" x14ac:dyDescent="0.25"/>
  <sheetData>
    <row r="1" spans="1:9" x14ac:dyDescent="0.25">
      <c r="A1" t="s">
        <v>40</v>
      </c>
    </row>
    <row r="2" spans="1:9" x14ac:dyDescent="0.25">
      <c r="A2" t="s">
        <v>52</v>
      </c>
    </row>
    <row r="3" spans="1:9" x14ac:dyDescent="0.25">
      <c r="A3" t="s">
        <v>26</v>
      </c>
    </row>
    <row r="5" spans="1:9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12</v>
      </c>
    </row>
    <row r="6" spans="1:9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</row>
    <row r="7" spans="1:9" x14ac:dyDescent="0.25">
      <c r="B7" s="7">
        <v>0.2</v>
      </c>
      <c r="C7" s="7">
        <v>3.07</v>
      </c>
      <c r="D7" s="7">
        <v>0.37</v>
      </c>
      <c r="E7" s="7"/>
      <c r="F7" s="7">
        <v>0</v>
      </c>
      <c r="G7" s="7"/>
      <c r="H7" s="7"/>
    </row>
    <row r="8" spans="1:9" x14ac:dyDescent="0.25">
      <c r="B8" s="7">
        <v>0.4</v>
      </c>
      <c r="C8" s="7">
        <v>4.75</v>
      </c>
      <c r="D8" s="7">
        <v>0.47</v>
      </c>
      <c r="E8" s="7"/>
      <c r="F8" s="7">
        <v>0.01</v>
      </c>
      <c r="G8" s="7"/>
      <c r="H8" s="7"/>
    </row>
    <row r="9" spans="1:9" x14ac:dyDescent="0.25">
      <c r="B9" s="7">
        <v>0.6</v>
      </c>
      <c r="C9" s="7">
        <v>6.67</v>
      </c>
      <c r="D9" s="7">
        <v>0.5</v>
      </c>
      <c r="E9" s="7"/>
      <c r="F9" s="7">
        <v>0.88</v>
      </c>
      <c r="G9" s="7"/>
      <c r="H9" s="7"/>
    </row>
    <row r="10" spans="1:9" x14ac:dyDescent="0.25">
      <c r="B10" s="7">
        <v>0.7</v>
      </c>
      <c r="C10" s="7">
        <v>8.0500000000000007</v>
      </c>
      <c r="D10" s="7">
        <v>0.48</v>
      </c>
      <c r="E10" s="7"/>
      <c r="F10" s="7">
        <v>1.33</v>
      </c>
      <c r="G10" s="7"/>
      <c r="H10" s="7"/>
    </row>
    <row r="11" spans="1:9" x14ac:dyDescent="0.25">
      <c r="B11" s="7"/>
      <c r="C11" s="7"/>
      <c r="D11" s="7"/>
      <c r="E11" s="7"/>
      <c r="F11" s="7"/>
      <c r="G11" s="7"/>
      <c r="H11" s="7"/>
    </row>
    <row r="12" spans="1:9" x14ac:dyDescent="0.25">
      <c r="B12" s="7"/>
      <c r="C12" s="7"/>
      <c r="D12" s="7"/>
      <c r="E12" s="7"/>
      <c r="F12" s="7"/>
      <c r="G12" s="7"/>
      <c r="H12" s="7"/>
    </row>
    <row r="13" spans="1:9" x14ac:dyDescent="0.25">
      <c r="B13" s="7"/>
      <c r="C13" s="7"/>
      <c r="D13" s="7"/>
      <c r="E13" s="7"/>
      <c r="F13" s="7"/>
      <c r="G13" s="7"/>
      <c r="H13" s="7"/>
    </row>
    <row r="14" spans="1:9" x14ac:dyDescent="0.25">
      <c r="B14" s="7"/>
      <c r="C14" s="7"/>
      <c r="D14" s="7"/>
      <c r="E14" s="7"/>
      <c r="F14" s="7"/>
      <c r="G14" s="7"/>
      <c r="H14" s="7"/>
    </row>
    <row r="15" spans="1:9" x14ac:dyDescent="0.25">
      <c r="B15" s="7"/>
      <c r="C15" s="7"/>
      <c r="D15" s="7"/>
      <c r="E15" s="7"/>
    </row>
    <row r="16" spans="1:9" x14ac:dyDescent="0.25">
      <c r="B16" s="7"/>
      <c r="C16" s="7"/>
      <c r="D16" s="7"/>
      <c r="E16" s="7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AFC3-85FD-4BE5-962E-AC169410440F}">
  <dimension ref="A1:N52"/>
  <sheetViews>
    <sheetView zoomScale="70" zoomScaleNormal="70" workbookViewId="0">
      <selection activeCell="H17" sqref="H17"/>
    </sheetView>
  </sheetViews>
  <sheetFormatPr baseColWidth="10" defaultRowHeight="15" x14ac:dyDescent="0.25"/>
  <sheetData>
    <row r="1" spans="1:14" x14ac:dyDescent="0.25">
      <c r="A1" t="s">
        <v>63</v>
      </c>
    </row>
    <row r="2" spans="1:14" x14ac:dyDescent="0.25">
      <c r="A2" t="s">
        <v>67</v>
      </c>
    </row>
    <row r="3" spans="1:14" x14ac:dyDescent="0.25">
      <c r="A3" t="s">
        <v>26</v>
      </c>
      <c r="I3" s="1"/>
    </row>
    <row r="5" spans="1:14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55</v>
      </c>
      <c r="J5" s="1" t="s">
        <v>12</v>
      </c>
    </row>
    <row r="6" spans="1:14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 t="s">
        <v>39</v>
      </c>
      <c r="J6" s="3"/>
      <c r="L6" s="1" t="s">
        <v>65</v>
      </c>
      <c r="M6" s="11" t="s">
        <v>39</v>
      </c>
    </row>
    <row r="7" spans="1:14" x14ac:dyDescent="0.25">
      <c r="B7" s="13">
        <f>(C7*0.1802)*D7</f>
        <v>5.3081052066559324E-2</v>
      </c>
      <c r="C7" s="14">
        <v>0.699705641075134</v>
      </c>
      <c r="D7" s="13">
        <v>0.42098765432098767</v>
      </c>
      <c r="E7" s="13"/>
      <c r="F7" s="13">
        <v>0</v>
      </c>
      <c r="G7" s="13"/>
      <c r="H7" s="13">
        <v>1.9871489766777723</v>
      </c>
      <c r="I7" s="13">
        <v>2.1618357487922704</v>
      </c>
      <c r="L7" s="9">
        <v>16.7</v>
      </c>
      <c r="M7">
        <f>L7*(10/84.04)</f>
        <v>1.9871489766777723</v>
      </c>
    </row>
    <row r="8" spans="1:14" x14ac:dyDescent="0.25">
      <c r="B8" s="13">
        <f t="shared" ref="B8:B13" si="0">(C8*0.1802)*D8</f>
        <v>0.10184034966643664</v>
      </c>
      <c r="C8" s="14">
        <v>1.204665623427386</v>
      </c>
      <c r="D8" s="13">
        <v>0.46913580246913578</v>
      </c>
      <c r="E8" s="13"/>
      <c r="F8" s="13">
        <v>0</v>
      </c>
      <c r="G8" s="13"/>
      <c r="H8" s="13">
        <v>2.8081865778200856</v>
      </c>
      <c r="I8" s="13">
        <v>2.8864734299516908</v>
      </c>
      <c r="L8" s="10">
        <v>23.6</v>
      </c>
      <c r="M8">
        <f t="shared" ref="M8:M13" si="1">L8*(10/84.04)</f>
        <v>2.8081865778200856</v>
      </c>
    </row>
    <row r="9" spans="1:14" x14ac:dyDescent="0.25">
      <c r="B9" s="13">
        <f t="shared" si="0"/>
        <v>0.1917989417989418</v>
      </c>
      <c r="C9" s="14">
        <v>2.1542661363150675</v>
      </c>
      <c r="D9" s="13">
        <v>0.49407407407407405</v>
      </c>
      <c r="E9" s="13"/>
      <c r="F9" s="13">
        <v>0</v>
      </c>
      <c r="G9" s="13"/>
      <c r="H9" s="13">
        <v>4.5311756306520703</v>
      </c>
      <c r="I9" s="13">
        <v>4.7463768115942031</v>
      </c>
      <c r="L9">
        <v>38.08</v>
      </c>
      <c r="M9">
        <f t="shared" si="1"/>
        <v>4.5311756306520703</v>
      </c>
    </row>
    <row r="10" spans="1:14" x14ac:dyDescent="0.25">
      <c r="B10" s="13">
        <f t="shared" si="0"/>
        <v>0.29827191166321598</v>
      </c>
      <c r="C10" s="14">
        <v>3.3451444564700368</v>
      </c>
      <c r="D10" s="13">
        <v>0.49481481481481482</v>
      </c>
      <c r="E10" s="13"/>
      <c r="F10" s="13">
        <v>0</v>
      </c>
      <c r="G10" s="13"/>
      <c r="H10" s="13">
        <v>6.5909090909090908</v>
      </c>
      <c r="I10" s="13">
        <v>10</v>
      </c>
      <c r="L10">
        <v>55.39</v>
      </c>
      <c r="M10">
        <f t="shared" si="1"/>
        <v>6.5909090909090908</v>
      </c>
    </row>
    <row r="11" spans="1:14" x14ac:dyDescent="0.25">
      <c r="B11" s="13">
        <f t="shared" si="0"/>
        <v>0.4113419216317768</v>
      </c>
      <c r="C11" s="14">
        <v>4.6928533513487434</v>
      </c>
      <c r="D11" s="13">
        <v>0.48641975308641977</v>
      </c>
      <c r="E11" s="13"/>
      <c r="F11" s="13">
        <v>0.15509028470145123</v>
      </c>
      <c r="G11" s="13"/>
      <c r="H11" s="13">
        <v>8.6899095668729167</v>
      </c>
      <c r="I11" s="13">
        <v>10.640096618357488</v>
      </c>
      <c r="L11">
        <v>73.03</v>
      </c>
      <c r="M11">
        <f t="shared" si="1"/>
        <v>8.6899095668729167</v>
      </c>
    </row>
    <row r="12" spans="1:14" x14ac:dyDescent="0.25">
      <c r="B12" s="13">
        <f t="shared" si="0"/>
        <v>0.49603174603174605</v>
      </c>
      <c r="C12" s="14">
        <v>5.9457745362295862</v>
      </c>
      <c r="D12" s="13">
        <v>0.46296296296296297</v>
      </c>
      <c r="E12" s="13"/>
      <c r="F12" s="13">
        <v>1.8416971308297332</v>
      </c>
      <c r="G12" s="13"/>
      <c r="H12" s="13">
        <v>10.298667301285102</v>
      </c>
      <c r="I12" s="13">
        <v>15.374396135265702</v>
      </c>
      <c r="L12">
        <v>86.55</v>
      </c>
      <c r="M12">
        <f t="shared" si="1"/>
        <v>10.298667301285102</v>
      </c>
    </row>
    <row r="13" spans="1:14" x14ac:dyDescent="0.25">
      <c r="B13" s="13">
        <f t="shared" si="0"/>
        <v>0.60226293995859215</v>
      </c>
      <c r="C13" s="14">
        <v>7.8742735814588345</v>
      </c>
      <c r="D13" s="13">
        <v>0.42444444444444446</v>
      </c>
      <c r="E13" s="13"/>
      <c r="F13" s="13">
        <v>6.1094494294893105</v>
      </c>
      <c r="G13" s="13"/>
      <c r="H13" s="13">
        <v>8.5768681580199893</v>
      </c>
      <c r="I13" s="13">
        <v>13.188405797101451</v>
      </c>
      <c r="L13">
        <v>72.08</v>
      </c>
      <c r="M13">
        <f t="shared" si="1"/>
        <v>8.5768681580199893</v>
      </c>
    </row>
    <row r="14" spans="1:14" x14ac:dyDescent="0.25">
      <c r="B14" s="7"/>
      <c r="C14" s="7"/>
      <c r="D14" s="7"/>
      <c r="E14" s="7"/>
      <c r="F14" s="7"/>
      <c r="G14" s="7"/>
      <c r="H14" s="7"/>
      <c r="I14" s="7"/>
    </row>
    <row r="15" spans="1:14" x14ac:dyDescent="0.25">
      <c r="B15" s="7"/>
      <c r="C15" s="7"/>
      <c r="D15" s="7"/>
      <c r="E15" s="7"/>
      <c r="L15" t="s">
        <v>64</v>
      </c>
      <c r="M15" t="s">
        <v>30</v>
      </c>
    </row>
    <row r="16" spans="1:14" x14ac:dyDescent="0.25">
      <c r="B16" s="7"/>
      <c r="C16" s="7"/>
      <c r="D16" s="7"/>
      <c r="E16" s="7"/>
      <c r="L16">
        <v>40.6</v>
      </c>
      <c r="M16">
        <f>L16*(0.3/96.6)</f>
        <v>0.12608695652173915</v>
      </c>
      <c r="N16">
        <f>M16/0.1802</f>
        <v>0.699705641075134</v>
      </c>
    </row>
    <row r="17" spans="12:14" x14ac:dyDescent="0.25">
      <c r="L17">
        <v>69.900000000000006</v>
      </c>
      <c r="M17">
        <f t="shared" ref="M17:M22" si="2">L17*(0.3/96.6)</f>
        <v>0.21708074534161495</v>
      </c>
      <c r="N17">
        <f t="shared" ref="N17:N22" si="3">M17/0.1802</f>
        <v>1.204665623427386</v>
      </c>
    </row>
    <row r="18" spans="12:14" x14ac:dyDescent="0.25">
      <c r="L18">
        <v>125</v>
      </c>
      <c r="M18">
        <f t="shared" si="2"/>
        <v>0.38819875776397517</v>
      </c>
      <c r="N18">
        <f t="shared" si="3"/>
        <v>2.1542661363150675</v>
      </c>
    </row>
    <row r="19" spans="12:14" x14ac:dyDescent="0.25">
      <c r="L19">
        <v>194.1</v>
      </c>
      <c r="M19">
        <f t="shared" si="2"/>
        <v>0.6027950310559006</v>
      </c>
      <c r="N19">
        <f t="shared" si="3"/>
        <v>3.3451444564700368</v>
      </c>
    </row>
    <row r="20" spans="12:14" x14ac:dyDescent="0.25">
      <c r="L20">
        <v>272.3</v>
      </c>
      <c r="M20">
        <f t="shared" si="2"/>
        <v>0.84565217391304359</v>
      </c>
      <c r="N20">
        <f t="shared" si="3"/>
        <v>4.6928533513487434</v>
      </c>
    </row>
    <row r="21" spans="12:14" x14ac:dyDescent="0.25">
      <c r="L21">
        <v>345</v>
      </c>
      <c r="M21">
        <f t="shared" si="2"/>
        <v>1.0714285714285714</v>
      </c>
      <c r="N21">
        <f t="shared" si="3"/>
        <v>5.9457745362295862</v>
      </c>
    </row>
    <row r="22" spans="12:14" x14ac:dyDescent="0.25">
      <c r="L22">
        <v>456.9</v>
      </c>
      <c r="M22">
        <f t="shared" si="2"/>
        <v>1.418944099378882</v>
      </c>
      <c r="N22">
        <f t="shared" si="3"/>
        <v>7.8742735814588345</v>
      </c>
    </row>
    <row r="25" spans="12:14" x14ac:dyDescent="0.25">
      <c r="L25" t="s">
        <v>66</v>
      </c>
      <c r="M25" t="s">
        <v>39</v>
      </c>
    </row>
    <row r="26" spans="12:14" x14ac:dyDescent="0.25">
      <c r="L26">
        <v>17.899999999999999</v>
      </c>
      <c r="M26">
        <f>L26*(10/82.8)</f>
        <v>2.1618357487922704</v>
      </c>
    </row>
    <row r="27" spans="12:14" x14ac:dyDescent="0.25">
      <c r="L27">
        <v>23.9</v>
      </c>
      <c r="M27">
        <f t="shared" ref="M27:M32" si="4">L27*(10/82.8)</f>
        <v>2.8864734299516908</v>
      </c>
    </row>
    <row r="28" spans="12:14" x14ac:dyDescent="0.25">
      <c r="L28">
        <v>39.299999999999997</v>
      </c>
      <c r="M28">
        <f t="shared" si="4"/>
        <v>4.7463768115942031</v>
      </c>
    </row>
    <row r="29" spans="12:14" x14ac:dyDescent="0.25">
      <c r="L29">
        <v>82.8</v>
      </c>
      <c r="M29">
        <f t="shared" si="4"/>
        <v>10</v>
      </c>
    </row>
    <row r="30" spans="12:14" x14ac:dyDescent="0.25">
      <c r="L30">
        <v>88.1</v>
      </c>
      <c r="M30">
        <f t="shared" si="4"/>
        <v>10.640096618357488</v>
      </c>
    </row>
    <row r="31" spans="12:14" x14ac:dyDescent="0.25">
      <c r="L31">
        <v>127.3</v>
      </c>
      <c r="M31">
        <f t="shared" si="4"/>
        <v>15.374396135265702</v>
      </c>
    </row>
    <row r="32" spans="12:14" x14ac:dyDescent="0.25">
      <c r="L32">
        <v>109.2</v>
      </c>
      <c r="M32">
        <f t="shared" si="4"/>
        <v>13.188405797101451</v>
      </c>
    </row>
    <row r="35" spans="12:14" x14ac:dyDescent="0.25">
      <c r="L35" t="s">
        <v>68</v>
      </c>
      <c r="M35" t="s">
        <v>69</v>
      </c>
      <c r="N35" t="s">
        <v>39</v>
      </c>
    </row>
    <row r="36" spans="12:14" x14ac:dyDescent="0.25">
      <c r="L36">
        <v>0</v>
      </c>
      <c r="M36">
        <f>L36*(0.1/61.2)</f>
        <v>0</v>
      </c>
      <c r="N36">
        <f>M36/0.059</f>
        <v>0</v>
      </c>
    </row>
    <row r="37" spans="12:14" x14ac:dyDescent="0.25">
      <c r="L37">
        <v>0</v>
      </c>
      <c r="M37">
        <f t="shared" ref="M37:M42" si="5">L37*(0.1/61.2)</f>
        <v>0</v>
      </c>
      <c r="N37">
        <f t="shared" ref="N37:N42" si="6">M37/0.059</f>
        <v>0</v>
      </c>
    </row>
    <row r="38" spans="12:14" x14ac:dyDescent="0.25">
      <c r="L38">
        <v>0</v>
      </c>
      <c r="M38">
        <f t="shared" si="5"/>
        <v>0</v>
      </c>
      <c r="N38">
        <f t="shared" si="6"/>
        <v>0</v>
      </c>
    </row>
    <row r="39" spans="12:14" x14ac:dyDescent="0.25">
      <c r="L39">
        <v>0</v>
      </c>
      <c r="M39">
        <f t="shared" si="5"/>
        <v>0</v>
      </c>
      <c r="N39">
        <f t="shared" si="6"/>
        <v>0</v>
      </c>
    </row>
    <row r="40" spans="12:14" x14ac:dyDescent="0.25">
      <c r="L40">
        <v>5.6</v>
      </c>
      <c r="M40">
        <f t="shared" si="5"/>
        <v>9.1503267973856214E-3</v>
      </c>
      <c r="N40">
        <f t="shared" si="6"/>
        <v>0.15509028470145123</v>
      </c>
    </row>
    <row r="41" spans="12:14" x14ac:dyDescent="0.25">
      <c r="L41">
        <v>66.5</v>
      </c>
      <c r="M41">
        <f t="shared" si="5"/>
        <v>0.10866013071895425</v>
      </c>
      <c r="N41">
        <f t="shared" si="6"/>
        <v>1.8416971308297332</v>
      </c>
    </row>
    <row r="42" spans="12:14" x14ac:dyDescent="0.25">
      <c r="L42">
        <v>220.6</v>
      </c>
      <c r="M42">
        <f t="shared" si="5"/>
        <v>0.36045751633986928</v>
      </c>
      <c r="N42">
        <f t="shared" si="6"/>
        <v>6.1094494294893105</v>
      </c>
    </row>
    <row r="45" spans="12:14" x14ac:dyDescent="0.25">
      <c r="L45" t="s">
        <v>70</v>
      </c>
    </row>
    <row r="46" spans="12:14" x14ac:dyDescent="0.25">
      <c r="L46">
        <v>170.5</v>
      </c>
      <c r="M46">
        <f>L46*(0.1/40.5)</f>
        <v>0.42098765432098767</v>
      </c>
    </row>
    <row r="47" spans="12:14" x14ac:dyDescent="0.25">
      <c r="L47">
        <v>190</v>
      </c>
      <c r="M47">
        <f t="shared" ref="M47:M52" si="7">L47*(0.1/40.5)</f>
        <v>0.46913580246913578</v>
      </c>
    </row>
    <row r="48" spans="12:14" x14ac:dyDescent="0.25">
      <c r="L48">
        <v>200.1</v>
      </c>
      <c r="M48">
        <f t="shared" si="7"/>
        <v>0.49407407407407405</v>
      </c>
    </row>
    <row r="49" spans="12:13" x14ac:dyDescent="0.25">
      <c r="L49">
        <v>200.4</v>
      </c>
      <c r="M49">
        <f t="shared" si="7"/>
        <v>0.49481481481481482</v>
      </c>
    </row>
    <row r="50" spans="12:13" x14ac:dyDescent="0.25">
      <c r="L50">
        <v>197</v>
      </c>
      <c r="M50">
        <f t="shared" si="7"/>
        <v>0.48641975308641977</v>
      </c>
    </row>
    <row r="51" spans="12:13" x14ac:dyDescent="0.25">
      <c r="L51">
        <v>187.5</v>
      </c>
      <c r="M51">
        <f t="shared" si="7"/>
        <v>0.46296296296296297</v>
      </c>
    </row>
    <row r="52" spans="12:13" x14ac:dyDescent="0.25">
      <c r="L52">
        <v>171.9</v>
      </c>
      <c r="M52">
        <f t="shared" si="7"/>
        <v>0.42444444444444446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304F-2E22-4A50-A141-D82514C1066F}">
  <dimension ref="A1:L19"/>
  <sheetViews>
    <sheetView workbookViewId="0">
      <selection activeCell="G24" sqref="G24"/>
    </sheetView>
  </sheetViews>
  <sheetFormatPr baseColWidth="10" defaultRowHeight="15" x14ac:dyDescent="0.25"/>
  <sheetData>
    <row r="1" spans="1:12" x14ac:dyDescent="0.25">
      <c r="A1" t="s">
        <v>51</v>
      </c>
    </row>
    <row r="2" spans="1:12" x14ac:dyDescent="0.25">
      <c r="A2" t="s">
        <v>50</v>
      </c>
    </row>
    <row r="3" spans="1:12" x14ac:dyDescent="0.25">
      <c r="A3" t="s">
        <v>26</v>
      </c>
    </row>
    <row r="4" spans="1:12" x14ac:dyDescent="0.25">
      <c r="A4" t="s">
        <v>49</v>
      </c>
    </row>
    <row r="5" spans="1:12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12</v>
      </c>
    </row>
    <row r="6" spans="1:12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</row>
    <row r="7" spans="1:12" x14ac:dyDescent="0.25">
      <c r="B7" s="7">
        <v>4.3999999999999997E-2</v>
      </c>
      <c r="C7" s="7">
        <v>0.48279689234184237</v>
      </c>
      <c r="D7" s="7">
        <f>B7/(C7*0.1802)</f>
        <v>0.50574712643678166</v>
      </c>
      <c r="E7" s="7"/>
      <c r="F7" s="7">
        <v>0</v>
      </c>
      <c r="G7" s="7"/>
      <c r="H7" s="7"/>
      <c r="K7">
        <v>0</v>
      </c>
      <c r="L7">
        <f>K7/0.05904</f>
        <v>0</v>
      </c>
    </row>
    <row r="8" spans="1:12" x14ac:dyDescent="0.25">
      <c r="B8" s="7">
        <v>6.6000000000000003E-2</v>
      </c>
      <c r="C8" s="7">
        <v>0.72697003329633747</v>
      </c>
      <c r="D8" s="7">
        <f t="shared" ref="D8:D19" si="0">B8/(C8*0.1802)</f>
        <v>0.50381679389312972</v>
      </c>
      <c r="E8" s="7"/>
      <c r="F8" s="7">
        <v>0</v>
      </c>
      <c r="G8" s="7"/>
      <c r="H8" s="7"/>
      <c r="K8">
        <v>0</v>
      </c>
      <c r="L8">
        <f t="shared" ref="L8:L19" si="1">K8/0.05904</f>
        <v>0</v>
      </c>
    </row>
    <row r="9" spans="1:12" x14ac:dyDescent="0.25">
      <c r="B9" s="7">
        <v>0.13400000000000001</v>
      </c>
      <c r="C9" s="7">
        <v>1.4039955604883463</v>
      </c>
      <c r="D9" s="7">
        <f t="shared" si="0"/>
        <v>0.52964426877470361</v>
      </c>
      <c r="E9" s="7"/>
      <c r="F9" s="7">
        <v>0</v>
      </c>
      <c r="G9" s="7"/>
      <c r="H9" s="7"/>
      <c r="K9">
        <v>0</v>
      </c>
      <c r="L9">
        <f t="shared" si="1"/>
        <v>0</v>
      </c>
    </row>
    <row r="10" spans="1:12" x14ac:dyDescent="0.25">
      <c r="B10" s="7">
        <v>0.15</v>
      </c>
      <c r="C10" s="7">
        <v>1.5926748057713651</v>
      </c>
      <c r="D10" s="7">
        <f t="shared" si="0"/>
        <v>0.52264808362369342</v>
      </c>
      <c r="E10" s="7"/>
      <c r="F10" s="7">
        <v>0</v>
      </c>
      <c r="G10" s="7"/>
      <c r="H10" s="7"/>
      <c r="K10">
        <v>0</v>
      </c>
      <c r="L10">
        <f t="shared" si="1"/>
        <v>0</v>
      </c>
    </row>
    <row r="11" spans="1:12" x14ac:dyDescent="0.25">
      <c r="B11" s="7">
        <v>0.17</v>
      </c>
      <c r="C11" s="7">
        <v>1.8035516093229746</v>
      </c>
      <c r="D11" s="7">
        <f t="shared" si="0"/>
        <v>0.52307692307692311</v>
      </c>
      <c r="E11" s="7"/>
      <c r="F11" s="7">
        <v>0</v>
      </c>
      <c r="G11" s="7"/>
      <c r="H11" s="7"/>
      <c r="K11">
        <v>0</v>
      </c>
      <c r="L11">
        <f t="shared" si="1"/>
        <v>0</v>
      </c>
    </row>
    <row r="12" spans="1:12" x14ac:dyDescent="0.25">
      <c r="B12" s="7">
        <v>0.20300000000000001</v>
      </c>
      <c r="C12" s="7">
        <v>2.0810210876803552</v>
      </c>
      <c r="D12" s="7">
        <f t="shared" si="0"/>
        <v>0.54133333333333333</v>
      </c>
      <c r="E12" s="7"/>
      <c r="F12" s="7">
        <v>0</v>
      </c>
      <c r="G12" s="7"/>
      <c r="H12" s="7"/>
      <c r="K12">
        <v>0</v>
      </c>
      <c r="L12">
        <f t="shared" si="1"/>
        <v>0</v>
      </c>
    </row>
    <row r="13" spans="1:12" x14ac:dyDescent="0.25">
      <c r="B13" s="7">
        <v>0.26500000000000001</v>
      </c>
      <c r="C13" s="7">
        <v>2.7857935627081023</v>
      </c>
      <c r="D13" s="7">
        <f t="shared" si="0"/>
        <v>0.52788844621513942</v>
      </c>
      <c r="E13" s="7"/>
      <c r="F13" s="7">
        <v>0</v>
      </c>
      <c r="G13" s="7"/>
      <c r="H13" s="7"/>
      <c r="K13">
        <v>0</v>
      </c>
      <c r="L13">
        <f t="shared" si="1"/>
        <v>0</v>
      </c>
    </row>
    <row r="14" spans="1:12" x14ac:dyDescent="0.25">
      <c r="B14" s="7">
        <v>0.28000000000000003</v>
      </c>
      <c r="C14" s="7">
        <v>2.8079911209766926</v>
      </c>
      <c r="D14" s="7">
        <f t="shared" si="0"/>
        <v>0.55335968379446643</v>
      </c>
      <c r="E14" s="7"/>
      <c r="F14" s="7">
        <v>0</v>
      </c>
      <c r="G14" s="7"/>
      <c r="H14" s="7"/>
      <c r="K14">
        <v>0</v>
      </c>
      <c r="L14">
        <f t="shared" si="1"/>
        <v>0</v>
      </c>
    </row>
    <row r="15" spans="1:12" x14ac:dyDescent="0.25">
      <c r="B15" s="7">
        <v>0.3</v>
      </c>
      <c r="C15" s="7">
        <v>3.0077691453940067</v>
      </c>
      <c r="D15" s="7">
        <f t="shared" si="0"/>
        <v>0.55350553505535049</v>
      </c>
      <c r="E15" s="7"/>
      <c r="F15">
        <v>0</v>
      </c>
      <c r="K15">
        <v>0</v>
      </c>
      <c r="L15">
        <f t="shared" si="1"/>
        <v>0</v>
      </c>
    </row>
    <row r="16" spans="1:12" x14ac:dyDescent="0.25">
      <c r="B16" s="7">
        <v>0.34699999999999998</v>
      </c>
      <c r="C16" s="7">
        <v>3.3573806881243065</v>
      </c>
      <c r="D16" s="7">
        <f t="shared" si="0"/>
        <v>0.57355371900826446</v>
      </c>
      <c r="E16" s="7"/>
      <c r="F16">
        <v>0</v>
      </c>
      <c r="K16">
        <v>0</v>
      </c>
      <c r="L16">
        <f t="shared" si="1"/>
        <v>0</v>
      </c>
    </row>
    <row r="17" spans="2:12" x14ac:dyDescent="0.25">
      <c r="B17" s="7">
        <v>0.375</v>
      </c>
      <c r="C17" s="7">
        <v>3.551609322974473</v>
      </c>
      <c r="D17" s="7">
        <f t="shared" si="0"/>
        <v>0.5859375</v>
      </c>
      <c r="E17" s="7"/>
      <c r="F17">
        <v>5.4200542005420058E-2</v>
      </c>
      <c r="K17">
        <v>3.2000000000000002E-3</v>
      </c>
      <c r="L17">
        <f t="shared" si="1"/>
        <v>5.4200542005420058E-2</v>
      </c>
    </row>
    <row r="18" spans="2:12" x14ac:dyDescent="0.25">
      <c r="B18" s="7">
        <v>0.38800000000000001</v>
      </c>
      <c r="C18">
        <v>3.5682574916759155</v>
      </c>
      <c r="D18" s="7">
        <f t="shared" si="0"/>
        <v>0.60342146189735613</v>
      </c>
      <c r="F18">
        <v>5.7588075880758802E-2</v>
      </c>
      <c r="K18">
        <v>3.3999999999999998E-3</v>
      </c>
      <c r="L18">
        <f t="shared" si="1"/>
        <v>5.7588075880758802E-2</v>
      </c>
    </row>
    <row r="19" spans="2:12" x14ac:dyDescent="0.25">
      <c r="B19" s="7">
        <v>0.39700000000000002</v>
      </c>
      <c r="C19">
        <v>4.0122086570477249</v>
      </c>
      <c r="D19" s="7">
        <f t="shared" si="0"/>
        <v>0.54910096818810517</v>
      </c>
      <c r="F19">
        <v>7.9607046070460707E-2</v>
      </c>
      <c r="K19">
        <v>4.7000000000000002E-3</v>
      </c>
      <c r="L19">
        <f t="shared" si="1"/>
        <v>7.9607046070460707E-2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5CE9-3FBF-4E0B-AFC3-74F9E105D897}">
  <dimension ref="A1:J17"/>
  <sheetViews>
    <sheetView workbookViewId="0">
      <selection sqref="A1:K12"/>
    </sheetView>
  </sheetViews>
  <sheetFormatPr baseColWidth="10" defaultRowHeight="15" x14ac:dyDescent="0.25"/>
  <cols>
    <col min="5" max="5" width="12.7109375" bestFit="1" customWidth="1"/>
    <col min="6" max="6" width="20.5703125" bestFit="1" customWidth="1"/>
    <col min="7" max="7" width="9.42578125" bestFit="1" customWidth="1"/>
    <col min="8" max="8" width="17.28515625" bestFit="1" customWidth="1"/>
    <col min="9" max="9" width="16.140625" bestFit="1" customWidth="1"/>
  </cols>
  <sheetData>
    <row r="1" spans="1:10" x14ac:dyDescent="0.25">
      <c r="A1" t="s">
        <v>22</v>
      </c>
    </row>
    <row r="2" spans="1:10" x14ac:dyDescent="0.25">
      <c r="A2" t="s">
        <v>54</v>
      </c>
    </row>
    <row r="3" spans="1:10" x14ac:dyDescent="0.25">
      <c r="A3" t="s">
        <v>26</v>
      </c>
    </row>
    <row r="4" spans="1:10" x14ac:dyDescent="0.25">
      <c r="A4" t="s">
        <v>53</v>
      </c>
    </row>
    <row r="5" spans="1:10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55</v>
      </c>
      <c r="J5" s="1" t="s">
        <v>12</v>
      </c>
    </row>
    <row r="6" spans="1:10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  <c r="J6" s="3"/>
    </row>
    <row r="7" spans="1:10" x14ac:dyDescent="0.25">
      <c r="B7" s="7">
        <v>0.1</v>
      </c>
      <c r="C7" s="7">
        <v>1.52</v>
      </c>
      <c r="D7" s="7">
        <f>B7/(C7*0.1802)</f>
        <v>0.36509141889129043</v>
      </c>
      <c r="E7" s="7"/>
      <c r="F7" s="7">
        <v>0</v>
      </c>
      <c r="G7" s="7"/>
      <c r="H7" s="7"/>
      <c r="I7" s="8">
        <v>4.74</v>
      </c>
    </row>
    <row r="8" spans="1:10" x14ac:dyDescent="0.25">
      <c r="B8" s="7">
        <v>0.2</v>
      </c>
      <c r="C8" s="7">
        <v>2.4700000000000002</v>
      </c>
      <c r="D8" s="7">
        <f t="shared" ref="D8:D10" si="0">B8/(C8*0.1802)</f>
        <v>0.44934328478928043</v>
      </c>
      <c r="E8" s="7"/>
      <c r="F8" s="7">
        <v>0</v>
      </c>
      <c r="G8" s="7"/>
      <c r="H8" s="7"/>
      <c r="I8" s="8">
        <v>6.64</v>
      </c>
    </row>
    <row r="9" spans="1:10" x14ac:dyDescent="0.25">
      <c r="B9" s="7">
        <v>0.3</v>
      </c>
      <c r="C9" s="7">
        <v>4.25</v>
      </c>
      <c r="D9" s="7">
        <f t="shared" si="0"/>
        <v>0.39172161650453741</v>
      </c>
      <c r="E9" s="7"/>
      <c r="F9" s="7">
        <v>0</v>
      </c>
      <c r="G9" s="7"/>
      <c r="H9" s="7"/>
      <c r="I9" s="8">
        <v>12.68</v>
      </c>
    </row>
    <row r="10" spans="1:10" x14ac:dyDescent="0.25">
      <c r="B10" s="7">
        <v>0.4</v>
      </c>
      <c r="C10" s="7">
        <v>5.65</v>
      </c>
      <c r="D10" s="7">
        <f t="shared" si="0"/>
        <v>0.39287713749717623</v>
      </c>
      <c r="E10" s="7"/>
      <c r="F10" s="7">
        <v>0</v>
      </c>
      <c r="G10" s="7"/>
      <c r="H10" s="7"/>
      <c r="I10" s="8">
        <v>16.82</v>
      </c>
    </row>
    <row r="11" spans="1:10" x14ac:dyDescent="0.25">
      <c r="B11" s="7"/>
      <c r="C11" s="7"/>
      <c r="D11" s="7"/>
      <c r="E11" s="7"/>
      <c r="F11" s="7"/>
      <c r="G11" s="7"/>
      <c r="H11" s="7"/>
      <c r="I11" s="7"/>
    </row>
    <row r="12" spans="1:10" x14ac:dyDescent="0.25">
      <c r="B12" s="7"/>
      <c r="C12" s="7"/>
      <c r="D12" s="7"/>
      <c r="E12" s="7"/>
      <c r="F12" s="7"/>
      <c r="G12" s="7"/>
      <c r="H12" s="7"/>
      <c r="I12" s="7"/>
    </row>
    <row r="13" spans="1:10" x14ac:dyDescent="0.25">
      <c r="B13" s="7"/>
      <c r="C13" s="7"/>
      <c r="D13" s="7"/>
      <c r="E13" s="7"/>
      <c r="F13" s="7"/>
      <c r="G13" s="7"/>
      <c r="H13" s="7"/>
      <c r="I13" s="7"/>
    </row>
    <row r="14" spans="1:10" x14ac:dyDescent="0.25">
      <c r="B14" s="7"/>
      <c r="C14" s="7"/>
      <c r="D14" s="7"/>
      <c r="E14" s="7"/>
      <c r="F14" s="7"/>
      <c r="G14" s="7"/>
      <c r="H14" s="7"/>
      <c r="I14" s="7"/>
    </row>
    <row r="15" spans="1:10" x14ac:dyDescent="0.25">
      <c r="B15" s="7"/>
      <c r="C15" s="7"/>
      <c r="D15" s="7"/>
      <c r="E15" s="7"/>
    </row>
    <row r="16" spans="1:10" x14ac:dyDescent="0.25">
      <c r="B16" s="7"/>
      <c r="C16" s="7"/>
      <c r="D16" s="7"/>
      <c r="E16" s="7"/>
    </row>
    <row r="17" spans="2:5" x14ac:dyDescent="0.25">
      <c r="B17" s="7"/>
      <c r="C17" s="7"/>
      <c r="D17" s="7"/>
      <c r="E17" s="7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68D-1B0F-41CF-93B1-A8566C89983D}">
  <dimension ref="A1:J12"/>
  <sheetViews>
    <sheetView workbookViewId="0">
      <selection activeCell="H7" sqref="H7:H10"/>
    </sheetView>
  </sheetViews>
  <sheetFormatPr baseColWidth="10" defaultRowHeight="15" x14ac:dyDescent="0.25"/>
  <cols>
    <col min="5" max="5" width="12.7109375" bestFit="1" customWidth="1"/>
    <col min="6" max="6" width="20.5703125" bestFit="1" customWidth="1"/>
    <col min="8" max="8" width="17.28515625" bestFit="1" customWidth="1"/>
    <col min="9" max="9" width="13.85546875" bestFit="1" customWidth="1"/>
  </cols>
  <sheetData>
    <row r="1" spans="1:10" x14ac:dyDescent="0.25">
      <c r="A1" t="s">
        <v>22</v>
      </c>
    </row>
    <row r="2" spans="1:10" x14ac:dyDescent="0.25">
      <c r="A2" t="s">
        <v>76</v>
      </c>
    </row>
    <row r="3" spans="1:10" x14ac:dyDescent="0.25">
      <c r="A3" t="s">
        <v>26</v>
      </c>
    </row>
    <row r="5" spans="1:10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55</v>
      </c>
      <c r="J5" s="1" t="s">
        <v>12</v>
      </c>
    </row>
    <row r="6" spans="1:10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77</v>
      </c>
      <c r="H6" s="3" t="s">
        <v>39</v>
      </c>
      <c r="I6" s="3"/>
      <c r="J6" s="3"/>
    </row>
    <row r="7" spans="1:10" x14ac:dyDescent="0.25">
      <c r="B7" s="7">
        <v>0.1</v>
      </c>
      <c r="C7" s="7">
        <v>1.52</v>
      </c>
      <c r="D7" s="7">
        <f>B7/(C7*0.1802)</f>
        <v>0.36509141889129043</v>
      </c>
      <c r="E7" s="7"/>
      <c r="F7" s="7"/>
      <c r="G7" s="7">
        <v>0.51500000000000001</v>
      </c>
      <c r="H7" s="7">
        <f>(G7*6*C7)</f>
        <v>4.6967999999999996</v>
      </c>
      <c r="I7" s="12">
        <v>4.75</v>
      </c>
    </row>
    <row r="8" spans="1:10" x14ac:dyDescent="0.25">
      <c r="B8" s="7">
        <v>0.2</v>
      </c>
      <c r="C8" s="7">
        <v>2.4700000000000002</v>
      </c>
      <c r="D8" s="7">
        <f t="shared" ref="D8:D10" si="0">B8/(C8*0.1802)</f>
        <v>0.44934328478928043</v>
      </c>
      <c r="E8" s="7"/>
      <c r="F8" s="7"/>
      <c r="G8" s="7">
        <v>0.46500000000000002</v>
      </c>
      <c r="H8" s="7">
        <f t="shared" ref="H8:H10" si="1">(G8*6*C8)</f>
        <v>6.8913000000000002</v>
      </c>
      <c r="I8" s="12">
        <v>6.64</v>
      </c>
    </row>
    <row r="9" spans="1:10" x14ac:dyDescent="0.25">
      <c r="B9" s="7">
        <v>0.3</v>
      </c>
      <c r="C9" s="7">
        <v>4.25</v>
      </c>
      <c r="D9" s="7">
        <f t="shared" si="0"/>
        <v>0.39172161650453741</v>
      </c>
      <c r="E9" s="7"/>
      <c r="F9" s="7"/>
      <c r="G9" s="7">
        <v>0.51400000000000001</v>
      </c>
      <c r="H9" s="7">
        <f t="shared" si="1"/>
        <v>13.107000000000001</v>
      </c>
      <c r="I9" s="12">
        <v>12.58</v>
      </c>
    </row>
    <row r="10" spans="1:10" x14ac:dyDescent="0.25">
      <c r="B10" s="7">
        <v>0.4</v>
      </c>
      <c r="C10" s="7">
        <v>5.65</v>
      </c>
      <c r="D10" s="7">
        <f t="shared" si="0"/>
        <v>0.39287713749717623</v>
      </c>
      <c r="E10" s="7"/>
      <c r="F10" s="7"/>
      <c r="G10" s="7">
        <v>0.51200000000000001</v>
      </c>
      <c r="H10" s="7">
        <f t="shared" si="1"/>
        <v>17.3568</v>
      </c>
      <c r="I10" s="12">
        <v>16.82</v>
      </c>
    </row>
    <row r="11" spans="1:10" x14ac:dyDescent="0.25">
      <c r="B11" s="7"/>
      <c r="C11" s="7"/>
      <c r="D11" s="7"/>
      <c r="E11" s="7"/>
      <c r="F11" s="7"/>
      <c r="G11" s="7"/>
      <c r="H11" s="7"/>
      <c r="I11" s="7"/>
    </row>
    <row r="12" spans="1:10" x14ac:dyDescent="0.25">
      <c r="B12" s="7"/>
      <c r="C12" s="7"/>
      <c r="D12" s="7"/>
      <c r="E12" s="7"/>
      <c r="F12" s="7"/>
      <c r="G12" s="7"/>
      <c r="H12" s="7"/>
      <c r="I12" s="7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8E05-9C8C-4446-8EF2-D262FD39C086}">
  <dimension ref="A1:J11"/>
  <sheetViews>
    <sheetView workbookViewId="0">
      <selection activeCell="A5" sqref="A5:J8"/>
    </sheetView>
  </sheetViews>
  <sheetFormatPr baseColWidth="10" defaultRowHeight="15" x14ac:dyDescent="0.25"/>
  <sheetData>
    <row r="1" spans="1:10" x14ac:dyDescent="0.25">
      <c r="A1" t="s">
        <v>59</v>
      </c>
    </row>
    <row r="2" spans="1:10" x14ac:dyDescent="0.25">
      <c r="A2" t="s">
        <v>57</v>
      </c>
    </row>
    <row r="3" spans="1:10" x14ac:dyDescent="0.25">
      <c r="A3" t="s">
        <v>26</v>
      </c>
    </row>
    <row r="4" spans="1:10" x14ac:dyDescent="0.25">
      <c r="A4" t="s">
        <v>58</v>
      </c>
    </row>
    <row r="5" spans="1:10" x14ac:dyDescent="0.25">
      <c r="B5" s="1" t="s">
        <v>24</v>
      </c>
      <c r="C5" s="1" t="s">
        <v>28</v>
      </c>
      <c r="D5" s="1" t="s">
        <v>29</v>
      </c>
      <c r="E5" s="1" t="s">
        <v>33</v>
      </c>
      <c r="F5" s="1" t="s">
        <v>35</v>
      </c>
      <c r="G5" s="1" t="s">
        <v>34</v>
      </c>
      <c r="H5" s="1" t="s">
        <v>36</v>
      </c>
      <c r="I5" s="1" t="s">
        <v>55</v>
      </c>
      <c r="J5" s="1" t="s">
        <v>12</v>
      </c>
    </row>
    <row r="6" spans="1:10" x14ac:dyDescent="0.25">
      <c r="A6" t="s">
        <v>25</v>
      </c>
      <c r="B6" s="3" t="s">
        <v>27</v>
      </c>
      <c r="C6" s="3" t="s">
        <v>39</v>
      </c>
      <c r="D6" s="3" t="s">
        <v>30</v>
      </c>
      <c r="E6" s="3" t="s">
        <v>37</v>
      </c>
      <c r="F6" s="3" t="s">
        <v>39</v>
      </c>
      <c r="G6" s="3" t="s">
        <v>37</v>
      </c>
      <c r="H6" s="3" t="s">
        <v>39</v>
      </c>
      <c r="I6" s="3"/>
      <c r="J6" s="3"/>
    </row>
    <row r="7" spans="1:10" x14ac:dyDescent="0.25">
      <c r="B7" s="7">
        <v>0.73</v>
      </c>
      <c r="C7" s="7">
        <v>9.5299999999999994</v>
      </c>
      <c r="D7">
        <f>B7/(C7*0.1802)</f>
        <v>0.42508440545831672</v>
      </c>
      <c r="E7" s="7"/>
      <c r="F7" s="7">
        <v>3.49</v>
      </c>
      <c r="G7" s="7"/>
      <c r="H7" s="7"/>
      <c r="I7" s="8"/>
      <c r="J7" t="s">
        <v>60</v>
      </c>
    </row>
    <row r="8" spans="1:10" x14ac:dyDescent="0.25">
      <c r="B8" s="7">
        <v>0.61</v>
      </c>
      <c r="C8" s="7">
        <v>6.65</v>
      </c>
      <c r="D8">
        <f>B8/(C8*0.1802)</f>
        <v>0.50904174976842764</v>
      </c>
      <c r="E8" s="7"/>
      <c r="F8" s="7">
        <v>2.95</v>
      </c>
      <c r="G8" s="7"/>
      <c r="H8" s="7"/>
      <c r="I8" s="8"/>
      <c r="J8" t="s">
        <v>61</v>
      </c>
    </row>
    <row r="9" spans="1:10" x14ac:dyDescent="0.25">
      <c r="B9" s="7"/>
      <c r="C9" s="7"/>
      <c r="D9" s="7"/>
      <c r="E9" s="7"/>
      <c r="F9" s="7"/>
      <c r="G9" s="7"/>
      <c r="H9" s="7"/>
      <c r="I9" s="8"/>
    </row>
    <row r="10" spans="1:10" x14ac:dyDescent="0.25">
      <c r="B10" s="7"/>
      <c r="C10" s="7"/>
      <c r="D10" s="7"/>
      <c r="E10" s="7"/>
      <c r="F10" s="7"/>
      <c r="G10" s="7"/>
      <c r="H10" s="7"/>
      <c r="I10" s="8"/>
    </row>
    <row r="11" spans="1:10" x14ac:dyDescent="0.25">
      <c r="B11" s="7"/>
      <c r="C11" s="7"/>
      <c r="D11" s="7"/>
      <c r="E11" s="7"/>
      <c r="F11" s="7"/>
      <c r="G11" s="7"/>
      <c r="H11" s="7"/>
      <c r="I11" s="7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9213-59B7-4B2F-A42B-DB592F45F25C}">
  <dimension ref="A1:K9"/>
  <sheetViews>
    <sheetView workbookViewId="0">
      <selection activeCell="H20" sqref="H20"/>
    </sheetView>
  </sheetViews>
  <sheetFormatPr baseColWidth="10" defaultRowHeight="15" x14ac:dyDescent="0.25"/>
  <cols>
    <col min="9" max="9" width="17.28515625" bestFit="1" customWidth="1"/>
    <col min="10" max="10" width="13.85546875" bestFit="1" customWidth="1"/>
  </cols>
  <sheetData>
    <row r="1" spans="1:11" x14ac:dyDescent="0.25">
      <c r="A1" t="s">
        <v>22</v>
      </c>
    </row>
    <row r="2" spans="1:11" x14ac:dyDescent="0.25">
      <c r="A2" t="s">
        <v>74</v>
      </c>
    </row>
    <row r="3" spans="1:11" x14ac:dyDescent="0.25">
      <c r="A3" t="s">
        <v>26</v>
      </c>
    </row>
    <row r="4" spans="1:11" x14ac:dyDescent="0.25">
      <c r="A4" t="s">
        <v>73</v>
      </c>
    </row>
    <row r="6" spans="1:11" x14ac:dyDescent="0.25">
      <c r="C6" s="1" t="s">
        <v>24</v>
      </c>
      <c r="D6" s="1" t="s">
        <v>28</v>
      </c>
      <c r="E6" s="1" t="s">
        <v>29</v>
      </c>
      <c r="F6" s="1" t="s">
        <v>33</v>
      </c>
      <c r="G6" s="1" t="s">
        <v>35</v>
      </c>
      <c r="H6" s="1" t="s">
        <v>34</v>
      </c>
      <c r="I6" s="1" t="s">
        <v>36</v>
      </c>
      <c r="J6" s="1" t="s">
        <v>55</v>
      </c>
      <c r="K6" s="1" t="s">
        <v>12</v>
      </c>
    </row>
    <row r="7" spans="1:11" x14ac:dyDescent="0.25">
      <c r="B7" t="s">
        <v>25</v>
      </c>
      <c r="C7" s="3" t="s">
        <v>27</v>
      </c>
      <c r="D7" s="3" t="s">
        <v>39</v>
      </c>
      <c r="E7" s="3" t="s">
        <v>30</v>
      </c>
      <c r="F7" s="3" t="s">
        <v>37</v>
      </c>
      <c r="G7" s="3" t="s">
        <v>39</v>
      </c>
      <c r="H7" s="3" t="s">
        <v>37</v>
      </c>
      <c r="I7" s="3" t="s">
        <v>39</v>
      </c>
      <c r="J7" s="3"/>
      <c r="K7" s="3"/>
    </row>
    <row r="8" spans="1:11" x14ac:dyDescent="0.25">
      <c r="C8" s="7">
        <v>0.85</v>
      </c>
      <c r="D8" s="7">
        <v>11.3</v>
      </c>
      <c r="E8">
        <v>0.42</v>
      </c>
      <c r="F8" s="7"/>
      <c r="G8" s="7">
        <v>7.1</v>
      </c>
      <c r="H8" s="7"/>
      <c r="I8" s="7">
        <v>19.600000000000001</v>
      </c>
      <c r="J8" s="12">
        <v>18.8</v>
      </c>
      <c r="K8" t="s">
        <v>75</v>
      </c>
    </row>
    <row r="9" spans="1:11" x14ac:dyDescent="0.25">
      <c r="C9" s="7">
        <v>0.12</v>
      </c>
      <c r="D9" s="7">
        <v>2.2999999999999998</v>
      </c>
      <c r="E9">
        <v>0.28999999999999998</v>
      </c>
      <c r="F9" s="7"/>
      <c r="G9" s="7">
        <v>0</v>
      </c>
      <c r="H9" s="7"/>
      <c r="I9" s="7">
        <v>9</v>
      </c>
      <c r="J9" s="12">
        <v>8.6999999999999993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77D-2751-44BB-8757-E4B3D65A556D}">
  <dimension ref="A1:V62"/>
  <sheetViews>
    <sheetView tabSelected="1" topLeftCell="A28" zoomScale="85" zoomScaleNormal="85" workbookViewId="0">
      <selection activeCell="K66" sqref="K66"/>
    </sheetView>
  </sheetViews>
  <sheetFormatPr baseColWidth="10" defaultRowHeight="15" x14ac:dyDescent="0.25"/>
  <cols>
    <col min="2" max="2" width="14.85546875" bestFit="1" customWidth="1"/>
    <col min="5" max="5" width="12.7109375" bestFit="1" customWidth="1"/>
    <col min="6" max="6" width="22.7109375" customWidth="1"/>
    <col min="8" max="8" width="17.28515625" bestFit="1" customWidth="1"/>
    <col min="9" max="9" width="17.28515625" customWidth="1"/>
    <col min="10" max="10" width="16.7109375" bestFit="1" customWidth="1"/>
  </cols>
  <sheetData>
    <row r="1" spans="1:22" x14ac:dyDescent="0.25">
      <c r="A1" t="s">
        <v>46</v>
      </c>
    </row>
    <row r="4" spans="1:22" x14ac:dyDescent="0.25">
      <c r="B4" s="1" t="s">
        <v>24</v>
      </c>
      <c r="C4" s="1" t="s">
        <v>28</v>
      </c>
      <c r="D4" s="1" t="s">
        <v>29</v>
      </c>
      <c r="E4" s="1" t="s">
        <v>33</v>
      </c>
      <c r="F4" s="1" t="s">
        <v>35</v>
      </c>
      <c r="G4" s="1" t="s">
        <v>34</v>
      </c>
      <c r="H4" s="1" t="s">
        <v>36</v>
      </c>
      <c r="I4" s="1" t="s">
        <v>55</v>
      </c>
      <c r="J4" s="1" t="s">
        <v>12</v>
      </c>
    </row>
    <row r="5" spans="1:22" x14ac:dyDescent="0.25">
      <c r="B5" s="3" t="s">
        <v>27</v>
      </c>
      <c r="C5" s="3" t="s">
        <v>39</v>
      </c>
      <c r="D5" s="3" t="s">
        <v>30</v>
      </c>
      <c r="E5" s="3" t="s">
        <v>37</v>
      </c>
      <c r="F5" s="3" t="s">
        <v>39</v>
      </c>
      <c r="G5" s="3" t="s">
        <v>37</v>
      </c>
      <c r="H5" s="3" t="s">
        <v>39</v>
      </c>
      <c r="I5" s="3" t="s">
        <v>39</v>
      </c>
      <c r="J5" s="3"/>
    </row>
    <row r="6" spans="1:22" x14ac:dyDescent="0.25">
      <c r="B6" s="15">
        <v>0.24</v>
      </c>
      <c r="C6" s="15">
        <f>(B6/D6)/0.1802</f>
        <v>3.0269397638986981</v>
      </c>
      <c r="D6" s="15">
        <v>0.44</v>
      </c>
      <c r="E6" s="15">
        <v>0</v>
      </c>
      <c r="F6" s="15">
        <f>E6*B6</f>
        <v>0</v>
      </c>
      <c r="G6" s="15">
        <v>27.56</v>
      </c>
      <c r="H6" s="15">
        <f>G6*B6</f>
        <v>6.6143999999999998</v>
      </c>
      <c r="I6" s="15"/>
      <c r="J6" t="s">
        <v>7</v>
      </c>
      <c r="L6" t="s">
        <v>60</v>
      </c>
    </row>
    <row r="7" spans="1:22" x14ac:dyDescent="0.25">
      <c r="B7" s="15">
        <v>0.24</v>
      </c>
      <c r="C7" s="15">
        <f t="shared" ref="C7:C13" si="0">(B7/D7)/0.1802</f>
        <v>3.3296337402885681</v>
      </c>
      <c r="D7" s="15">
        <v>0.4</v>
      </c>
      <c r="E7" s="15">
        <v>0</v>
      </c>
      <c r="F7" s="15">
        <f t="shared" ref="F7:F13" si="1">E7*B7</f>
        <v>0</v>
      </c>
      <c r="G7" s="15">
        <v>30.12</v>
      </c>
      <c r="H7" s="15">
        <f t="shared" ref="H7:H13" si="2">G7*B7</f>
        <v>7.2287999999999997</v>
      </c>
      <c r="I7" s="15"/>
      <c r="J7" t="s">
        <v>7</v>
      </c>
      <c r="L7" t="s">
        <v>60</v>
      </c>
      <c r="V7" s="16"/>
    </row>
    <row r="8" spans="1:22" x14ac:dyDescent="0.25">
      <c r="B8" s="15">
        <v>0.3</v>
      </c>
      <c r="C8" s="15">
        <f t="shared" si="0"/>
        <v>3.6191671090093127</v>
      </c>
      <c r="D8" s="15">
        <v>0.46</v>
      </c>
      <c r="E8" s="15">
        <v>0.53</v>
      </c>
      <c r="F8" s="15">
        <f t="shared" si="1"/>
        <v>0.159</v>
      </c>
      <c r="G8" s="15">
        <v>27.55</v>
      </c>
      <c r="H8" s="15">
        <f t="shared" si="2"/>
        <v>8.2650000000000006</v>
      </c>
      <c r="I8" s="15"/>
      <c r="J8" t="s">
        <v>7</v>
      </c>
      <c r="L8" t="s">
        <v>60</v>
      </c>
      <c r="V8" s="16"/>
    </row>
    <row r="9" spans="1:22" x14ac:dyDescent="0.25">
      <c r="B9" s="15">
        <v>0.3</v>
      </c>
      <c r="C9" s="15">
        <f t="shared" si="0"/>
        <v>4.0605289515714249</v>
      </c>
      <c r="D9" s="15">
        <v>0.41</v>
      </c>
      <c r="E9" s="15">
        <v>0.9</v>
      </c>
      <c r="F9" s="15">
        <f t="shared" si="1"/>
        <v>0.27</v>
      </c>
      <c r="G9" s="15">
        <v>27.19</v>
      </c>
      <c r="H9" s="15">
        <f t="shared" si="2"/>
        <v>8.157</v>
      </c>
      <c r="I9" s="15"/>
      <c r="J9" t="s">
        <v>7</v>
      </c>
      <c r="L9" t="s">
        <v>60</v>
      </c>
      <c r="V9" s="16"/>
    </row>
    <row r="10" spans="1:22" x14ac:dyDescent="0.25">
      <c r="B10" s="15">
        <v>0.4</v>
      </c>
      <c r="C10" s="15">
        <f t="shared" si="0"/>
        <v>5.0448996064978315</v>
      </c>
      <c r="D10" s="15">
        <v>0.44</v>
      </c>
      <c r="E10" s="15">
        <v>1.7</v>
      </c>
      <c r="F10" s="15">
        <f t="shared" si="1"/>
        <v>0.68</v>
      </c>
      <c r="G10" s="15">
        <v>26.24</v>
      </c>
      <c r="H10" s="15">
        <f t="shared" si="2"/>
        <v>10.496</v>
      </c>
      <c r="I10" s="15"/>
      <c r="J10" t="s">
        <v>7</v>
      </c>
      <c r="L10" t="s">
        <v>60</v>
      </c>
      <c r="V10" s="16"/>
    </row>
    <row r="11" spans="1:22" x14ac:dyDescent="0.25">
      <c r="B11" s="15">
        <v>0.4</v>
      </c>
      <c r="C11" s="15">
        <f t="shared" si="0"/>
        <v>5.2851329210929654</v>
      </c>
      <c r="D11" s="15">
        <v>0.42</v>
      </c>
      <c r="E11" s="15">
        <v>1.56</v>
      </c>
      <c r="F11" s="15">
        <f t="shared" si="1"/>
        <v>0.62400000000000011</v>
      </c>
      <c r="G11" s="15">
        <v>23.86</v>
      </c>
      <c r="H11" s="15">
        <f t="shared" si="2"/>
        <v>9.5440000000000005</v>
      </c>
      <c r="I11" s="15"/>
      <c r="J11" t="s">
        <v>7</v>
      </c>
      <c r="L11" t="s">
        <v>60</v>
      </c>
    </row>
    <row r="12" spans="1:22" x14ac:dyDescent="0.25">
      <c r="B12" s="15">
        <v>0.51</v>
      </c>
      <c r="C12" s="15">
        <f t="shared" si="0"/>
        <v>6.5818341377797287</v>
      </c>
      <c r="D12" s="15">
        <v>0.43</v>
      </c>
      <c r="E12" s="15">
        <v>3.25</v>
      </c>
      <c r="F12" s="15">
        <f t="shared" si="1"/>
        <v>1.6575</v>
      </c>
      <c r="G12" s="15"/>
      <c r="H12" s="15"/>
      <c r="I12" s="15"/>
      <c r="J12" t="s">
        <v>7</v>
      </c>
      <c r="L12" t="s">
        <v>60</v>
      </c>
    </row>
    <row r="13" spans="1:22" x14ac:dyDescent="0.25">
      <c r="B13" s="15">
        <v>0.51</v>
      </c>
      <c r="C13" s="15">
        <f t="shared" si="0"/>
        <v>6.9028992176714219</v>
      </c>
      <c r="D13" s="15">
        <v>0.41</v>
      </c>
      <c r="E13" s="15">
        <v>3.35</v>
      </c>
      <c r="F13" s="15">
        <f t="shared" si="1"/>
        <v>1.7085000000000001</v>
      </c>
      <c r="G13" s="15">
        <v>21.19</v>
      </c>
      <c r="H13" s="15">
        <f t="shared" si="2"/>
        <v>10.806900000000001</v>
      </c>
      <c r="I13" s="15"/>
      <c r="J13" t="s">
        <v>7</v>
      </c>
      <c r="L13" t="s">
        <v>60</v>
      </c>
    </row>
    <row r="14" spans="1:22" x14ac:dyDescent="0.25">
      <c r="B14" s="15">
        <v>0.65</v>
      </c>
      <c r="C14" s="15">
        <v>7.6</v>
      </c>
      <c r="D14" s="15">
        <v>0.48</v>
      </c>
      <c r="E14" s="15"/>
      <c r="F14" s="15">
        <v>4.8</v>
      </c>
      <c r="G14" s="15"/>
      <c r="H14" s="16"/>
      <c r="I14" s="16"/>
      <c r="J14" t="s">
        <v>47</v>
      </c>
      <c r="L14" t="s">
        <v>72</v>
      </c>
    </row>
    <row r="15" spans="1:22" x14ac:dyDescent="0.25">
      <c r="B15" s="15">
        <v>0.04</v>
      </c>
      <c r="C15" s="15">
        <v>0.9</v>
      </c>
      <c r="D15" s="15">
        <f>B15/(C15*0.1802)</f>
        <v>0.24663953631767174</v>
      </c>
      <c r="E15" s="15">
        <v>0</v>
      </c>
      <c r="F15" s="15">
        <v>0</v>
      </c>
      <c r="G15" s="16"/>
      <c r="H15" s="16"/>
      <c r="I15" s="16"/>
      <c r="J15" t="s">
        <v>48</v>
      </c>
      <c r="L15" t="s">
        <v>60</v>
      </c>
    </row>
    <row r="16" spans="1:22" x14ac:dyDescent="0.25">
      <c r="B16" s="15">
        <v>0.05</v>
      </c>
      <c r="C16" s="15">
        <v>1.2</v>
      </c>
      <c r="D16" s="15">
        <f t="shared" ref="D16:D25" si="3">B16/(C16*0.1802)</f>
        <v>0.23122456529781726</v>
      </c>
      <c r="E16" s="15">
        <v>0</v>
      </c>
      <c r="F16" s="15">
        <v>0</v>
      </c>
      <c r="G16" s="16"/>
      <c r="H16" s="16"/>
      <c r="I16" s="16"/>
      <c r="J16" t="s">
        <v>48</v>
      </c>
      <c r="L16" t="s">
        <v>60</v>
      </c>
    </row>
    <row r="17" spans="2:12" x14ac:dyDescent="0.25">
      <c r="B17" s="15">
        <v>0.06</v>
      </c>
      <c r="C17" s="15">
        <v>1.1000000000000001</v>
      </c>
      <c r="D17" s="15">
        <f t="shared" si="3"/>
        <v>0.30269397638986983</v>
      </c>
      <c r="E17" s="15">
        <v>0</v>
      </c>
      <c r="F17" s="15">
        <v>0</v>
      </c>
      <c r="G17" s="16"/>
      <c r="H17" s="16"/>
      <c r="I17" s="16"/>
      <c r="J17" t="s">
        <v>48</v>
      </c>
      <c r="L17" t="s">
        <v>60</v>
      </c>
    </row>
    <row r="18" spans="2:12" x14ac:dyDescent="0.25">
      <c r="B18" s="15">
        <v>0.09</v>
      </c>
      <c r="C18" s="15">
        <v>1.7</v>
      </c>
      <c r="D18" s="15">
        <f t="shared" si="3"/>
        <v>0.29379121237840305</v>
      </c>
      <c r="E18" s="15">
        <v>0</v>
      </c>
      <c r="F18" s="15">
        <v>0</v>
      </c>
      <c r="G18" s="16"/>
      <c r="H18" s="16"/>
      <c r="I18" s="16"/>
      <c r="J18" t="s">
        <v>48</v>
      </c>
      <c r="L18" t="s">
        <v>60</v>
      </c>
    </row>
    <row r="19" spans="2:12" x14ac:dyDescent="0.25">
      <c r="B19" s="15">
        <v>0.09</v>
      </c>
      <c r="C19" s="15">
        <v>1.8</v>
      </c>
      <c r="D19" s="15">
        <f t="shared" si="3"/>
        <v>0.27746947835738067</v>
      </c>
      <c r="E19" s="15">
        <v>0</v>
      </c>
      <c r="F19" s="15">
        <v>0</v>
      </c>
      <c r="G19" s="16"/>
      <c r="H19" s="16"/>
      <c r="I19" s="16"/>
      <c r="J19" t="s">
        <v>48</v>
      </c>
      <c r="L19" t="s">
        <v>60</v>
      </c>
    </row>
    <row r="20" spans="2:12" x14ac:dyDescent="0.25">
      <c r="B20" s="15">
        <v>0.11</v>
      </c>
      <c r="C20" s="15">
        <v>2</v>
      </c>
      <c r="D20" s="15">
        <f t="shared" si="3"/>
        <v>0.30521642619311878</v>
      </c>
      <c r="E20" s="15">
        <v>0</v>
      </c>
      <c r="F20" s="15">
        <v>0</v>
      </c>
      <c r="G20" s="16"/>
      <c r="H20" s="16"/>
      <c r="I20" s="16"/>
      <c r="J20" t="s">
        <v>48</v>
      </c>
      <c r="L20" t="s">
        <v>60</v>
      </c>
    </row>
    <row r="21" spans="2:12" x14ac:dyDescent="0.25">
      <c r="B21" s="15">
        <v>0.19</v>
      </c>
      <c r="C21" s="15">
        <v>2.8</v>
      </c>
      <c r="D21" s="15">
        <f t="shared" si="3"/>
        <v>0.3765657206278738</v>
      </c>
      <c r="E21" s="15">
        <v>0</v>
      </c>
      <c r="F21" s="15">
        <v>0</v>
      </c>
      <c r="G21" s="16"/>
      <c r="H21" s="16"/>
      <c r="I21" s="16"/>
      <c r="J21" t="s">
        <v>48</v>
      </c>
      <c r="L21" t="s">
        <v>60</v>
      </c>
    </row>
    <row r="22" spans="2:12" x14ac:dyDescent="0.25">
      <c r="B22" s="15">
        <v>0.28999999999999998</v>
      </c>
      <c r="C22" s="15">
        <v>4.2</v>
      </c>
      <c r="D22" s="15">
        <f t="shared" si="3"/>
        <v>0.38317213677923995</v>
      </c>
      <c r="E22" s="15">
        <v>0</v>
      </c>
      <c r="F22" s="15">
        <v>0</v>
      </c>
      <c r="G22" s="16"/>
      <c r="H22" s="16"/>
      <c r="I22" s="16"/>
      <c r="J22" t="s">
        <v>48</v>
      </c>
      <c r="L22" t="s">
        <v>60</v>
      </c>
    </row>
    <row r="23" spans="2:12" x14ac:dyDescent="0.25">
      <c r="B23" s="15">
        <v>0.31</v>
      </c>
      <c r="C23" s="15">
        <v>4.5999999999999996</v>
      </c>
      <c r="D23" s="15">
        <f t="shared" si="3"/>
        <v>0.37398060126429578</v>
      </c>
      <c r="E23" s="15">
        <v>0</v>
      </c>
      <c r="F23" s="15">
        <v>0</v>
      </c>
      <c r="G23" s="16"/>
      <c r="H23" s="16"/>
      <c r="I23" s="16"/>
      <c r="J23" t="s">
        <v>48</v>
      </c>
      <c r="L23" t="s">
        <v>60</v>
      </c>
    </row>
    <row r="24" spans="2:12" x14ac:dyDescent="0.25">
      <c r="B24" s="15">
        <v>0.4</v>
      </c>
      <c r="C24" s="15">
        <v>5.7</v>
      </c>
      <c r="D24" s="15">
        <f t="shared" si="3"/>
        <v>0.38943084681737644</v>
      </c>
      <c r="E24" s="15">
        <v>0</v>
      </c>
      <c r="F24" s="15">
        <v>0</v>
      </c>
      <c r="G24" s="16"/>
      <c r="H24" s="16"/>
      <c r="I24" s="16"/>
      <c r="J24" t="s">
        <v>48</v>
      </c>
      <c r="L24" t="s">
        <v>60</v>
      </c>
    </row>
    <row r="25" spans="2:12" x14ac:dyDescent="0.25">
      <c r="B25" s="15">
        <v>0.41</v>
      </c>
      <c r="C25" s="15">
        <v>5.8</v>
      </c>
      <c r="D25" s="15">
        <f t="shared" si="3"/>
        <v>0.39228443491905546</v>
      </c>
      <c r="E25" s="15">
        <v>0</v>
      </c>
      <c r="F25" s="15">
        <v>0</v>
      </c>
      <c r="G25" s="16"/>
      <c r="H25" s="16"/>
      <c r="I25" s="16"/>
      <c r="J25" t="s">
        <v>48</v>
      </c>
      <c r="L25" t="s">
        <v>60</v>
      </c>
    </row>
    <row r="26" spans="2:12" x14ac:dyDescent="0.25">
      <c r="B26" s="15">
        <v>0.21</v>
      </c>
      <c r="C26" s="15">
        <v>2.66</v>
      </c>
      <c r="D26" s="15">
        <f>B26/(C26*0.1802)</f>
        <v>0.43810970266954841</v>
      </c>
      <c r="E26" s="16"/>
      <c r="F26" s="16"/>
      <c r="G26" s="16"/>
      <c r="H26" s="16"/>
      <c r="I26" s="16"/>
      <c r="J26" t="s">
        <v>9</v>
      </c>
      <c r="L26" t="s">
        <v>72</v>
      </c>
    </row>
    <row r="27" spans="2:12" x14ac:dyDescent="0.25">
      <c r="B27" s="15">
        <v>0.31</v>
      </c>
      <c r="C27" s="15">
        <v>3.81</v>
      </c>
      <c r="D27" s="15">
        <f t="shared" ref="D27:D34" si="4">B27/(C27*0.1802)</f>
        <v>0.45152513538471395</v>
      </c>
      <c r="E27" s="16"/>
      <c r="F27" s="16"/>
      <c r="G27" s="16"/>
      <c r="H27" s="16"/>
      <c r="I27" s="16"/>
      <c r="J27" t="s">
        <v>9</v>
      </c>
      <c r="L27" t="s">
        <v>72</v>
      </c>
    </row>
    <row r="28" spans="2:12" x14ac:dyDescent="0.25">
      <c r="B28" s="15">
        <v>0.41</v>
      </c>
      <c r="C28" s="15">
        <v>4.91</v>
      </c>
      <c r="D28" s="15">
        <f t="shared" si="4"/>
        <v>0.46339098218544222</v>
      </c>
      <c r="E28" s="16"/>
      <c r="F28" s="16"/>
      <c r="G28" s="16"/>
      <c r="H28" s="16"/>
      <c r="I28" s="16"/>
      <c r="J28" t="s">
        <v>9</v>
      </c>
      <c r="L28" t="s">
        <v>72</v>
      </c>
    </row>
    <row r="29" spans="2:12" x14ac:dyDescent="0.25">
      <c r="B29" s="15">
        <v>0.51</v>
      </c>
      <c r="C29" s="15">
        <v>6.24</v>
      </c>
      <c r="D29" s="15">
        <f t="shared" si="4"/>
        <v>0.45355587808417991</v>
      </c>
      <c r="E29" s="16"/>
      <c r="F29" s="16"/>
      <c r="G29" s="16"/>
      <c r="H29" s="16"/>
      <c r="I29" s="16"/>
      <c r="J29" t="s">
        <v>9</v>
      </c>
      <c r="L29" t="s">
        <v>72</v>
      </c>
    </row>
    <row r="30" spans="2:12" x14ac:dyDescent="0.25">
      <c r="B30" s="15">
        <v>0.22</v>
      </c>
      <c r="C30" s="15">
        <v>2.78</v>
      </c>
      <c r="D30" s="15">
        <f t="shared" si="4"/>
        <v>0.43916032545772488</v>
      </c>
      <c r="E30" s="16"/>
      <c r="F30" s="16"/>
      <c r="G30" s="16"/>
      <c r="H30" s="16"/>
      <c r="I30" s="16"/>
      <c r="J30" t="s">
        <v>9</v>
      </c>
      <c r="L30" t="s">
        <v>72</v>
      </c>
    </row>
    <row r="31" spans="2:12" x14ac:dyDescent="0.25">
      <c r="B31" s="15">
        <v>0.26</v>
      </c>
      <c r="C31" s="15">
        <v>3.25</v>
      </c>
      <c r="D31" s="15">
        <f t="shared" si="4"/>
        <v>0.44395116537180912</v>
      </c>
      <c r="E31" s="16"/>
      <c r="F31" s="16"/>
      <c r="G31" s="16"/>
      <c r="H31" s="16"/>
      <c r="I31" s="16"/>
      <c r="J31" t="s">
        <v>9</v>
      </c>
      <c r="L31" t="s">
        <v>72</v>
      </c>
    </row>
    <row r="32" spans="2:12" x14ac:dyDescent="0.25">
      <c r="B32" s="15">
        <v>0.36</v>
      </c>
      <c r="C32" s="15">
        <v>4.3600000000000003</v>
      </c>
      <c r="D32" s="15">
        <f t="shared" si="4"/>
        <v>0.45820647802136255</v>
      </c>
      <c r="E32" s="16"/>
      <c r="F32" s="16"/>
      <c r="G32" s="16"/>
      <c r="H32" s="16"/>
      <c r="I32" s="16"/>
      <c r="J32" t="s">
        <v>9</v>
      </c>
      <c r="L32" t="s">
        <v>72</v>
      </c>
    </row>
    <row r="33" spans="2:12" x14ac:dyDescent="0.25">
      <c r="B33" s="15">
        <v>0.46</v>
      </c>
      <c r="C33" s="15">
        <v>5.52</v>
      </c>
      <c r="D33" s="15">
        <f t="shared" si="4"/>
        <v>0.46244913059563453</v>
      </c>
      <c r="E33" s="16"/>
      <c r="F33" s="16"/>
      <c r="G33" s="16"/>
      <c r="H33" s="16"/>
      <c r="I33" s="16"/>
      <c r="J33" t="s">
        <v>9</v>
      </c>
      <c r="L33" t="s">
        <v>72</v>
      </c>
    </row>
    <row r="34" spans="2:12" x14ac:dyDescent="0.25">
      <c r="B34" s="15">
        <v>0.51</v>
      </c>
      <c r="C34" s="15">
        <v>6.24</v>
      </c>
      <c r="D34" s="15">
        <f t="shared" si="4"/>
        <v>0.45355587808417991</v>
      </c>
      <c r="E34" s="16"/>
      <c r="F34" s="16"/>
      <c r="G34" s="16"/>
      <c r="H34" s="16"/>
      <c r="I34" s="16"/>
      <c r="J34" t="s">
        <v>9</v>
      </c>
      <c r="L34" t="s">
        <v>72</v>
      </c>
    </row>
    <row r="35" spans="2:12" x14ac:dyDescent="0.25">
      <c r="B35" s="15"/>
      <c r="C35" s="15"/>
      <c r="D35" s="15"/>
      <c r="E35" s="15"/>
      <c r="F35" s="15"/>
      <c r="G35" s="16"/>
      <c r="H35" s="16"/>
      <c r="I35" s="16"/>
    </row>
    <row r="36" spans="2:12" x14ac:dyDescent="0.25">
      <c r="B36" s="15"/>
      <c r="C36" s="15"/>
      <c r="D36" s="15"/>
      <c r="E36" s="15"/>
      <c r="F36" s="15"/>
      <c r="G36" s="16"/>
      <c r="H36" s="16"/>
      <c r="I36" s="16"/>
    </row>
    <row r="37" spans="2:12" x14ac:dyDescent="0.25">
      <c r="B37" s="15"/>
      <c r="C37" s="15"/>
      <c r="D37" s="15"/>
      <c r="E37" s="15"/>
      <c r="F37" s="15"/>
      <c r="G37" s="16"/>
      <c r="H37" s="16"/>
      <c r="I37" s="16"/>
    </row>
    <row r="38" spans="2:12" x14ac:dyDescent="0.25">
      <c r="B38" s="15"/>
      <c r="C38" s="15"/>
      <c r="D38" s="15"/>
      <c r="E38" s="15"/>
      <c r="F38" s="15"/>
      <c r="G38" s="16"/>
      <c r="H38" s="16"/>
      <c r="I38" s="16"/>
    </row>
    <row r="39" spans="2:12" x14ac:dyDescent="0.25">
      <c r="B39" s="15">
        <v>0.1</v>
      </c>
      <c r="C39" s="15">
        <v>1.52</v>
      </c>
      <c r="D39" s="15">
        <f>B39/(C39*0.1802)</f>
        <v>0.36509141889129043</v>
      </c>
      <c r="E39" s="15"/>
      <c r="F39" s="15">
        <v>0</v>
      </c>
      <c r="G39" s="16"/>
      <c r="H39" s="16"/>
      <c r="I39" s="16"/>
      <c r="J39" t="s">
        <v>56</v>
      </c>
      <c r="L39" t="s">
        <v>60</v>
      </c>
    </row>
    <row r="40" spans="2:12" x14ac:dyDescent="0.25">
      <c r="B40" s="15">
        <v>0.2</v>
      </c>
      <c r="C40" s="15">
        <v>2.4700000000000002</v>
      </c>
      <c r="D40" s="15">
        <f t="shared" ref="D40:D42" si="5">B40/(C40*0.1802)</f>
        <v>0.44934328478928043</v>
      </c>
      <c r="E40" s="15"/>
      <c r="F40" s="15">
        <v>0</v>
      </c>
      <c r="G40" s="16"/>
      <c r="H40" s="16"/>
      <c r="I40" s="16"/>
      <c r="J40" t="s">
        <v>56</v>
      </c>
      <c r="L40" t="s">
        <v>60</v>
      </c>
    </row>
    <row r="41" spans="2:12" x14ac:dyDescent="0.25">
      <c r="B41" s="15">
        <v>0.3</v>
      </c>
      <c r="C41" s="15">
        <v>4.25</v>
      </c>
      <c r="D41" s="15">
        <f t="shared" si="5"/>
        <v>0.39172161650453741</v>
      </c>
      <c r="E41" s="15"/>
      <c r="F41" s="15">
        <v>0</v>
      </c>
      <c r="G41" s="16"/>
      <c r="H41" s="16"/>
      <c r="I41" s="16"/>
      <c r="J41" t="s">
        <v>56</v>
      </c>
      <c r="L41" t="s">
        <v>60</v>
      </c>
    </row>
    <row r="42" spans="2:12" x14ac:dyDescent="0.25">
      <c r="B42" s="15">
        <v>0.4</v>
      </c>
      <c r="C42" s="15">
        <v>5.65</v>
      </c>
      <c r="D42" s="15">
        <f t="shared" si="5"/>
        <v>0.39287713749717623</v>
      </c>
      <c r="E42" s="15"/>
      <c r="F42" s="15">
        <v>0</v>
      </c>
      <c r="G42" s="16"/>
      <c r="H42" s="16"/>
      <c r="I42" s="16"/>
      <c r="J42" t="s">
        <v>56</v>
      </c>
      <c r="L42" t="s">
        <v>60</v>
      </c>
    </row>
    <row r="43" spans="2:12" x14ac:dyDescent="0.25">
      <c r="B43" s="15">
        <v>0.73</v>
      </c>
      <c r="C43" s="15">
        <v>9.5299999999999994</v>
      </c>
      <c r="D43" s="15">
        <f>B43/(C43*0.1802)</f>
        <v>0.42508440545831672</v>
      </c>
      <c r="E43" s="15"/>
      <c r="F43" s="15">
        <v>3.49</v>
      </c>
      <c r="G43" s="15"/>
      <c r="H43" s="16"/>
      <c r="I43" s="16"/>
      <c r="J43" t="s">
        <v>62</v>
      </c>
      <c r="L43" t="s">
        <v>60</v>
      </c>
    </row>
    <row r="44" spans="2:12" x14ac:dyDescent="0.25">
      <c r="B44" s="15">
        <v>0.61</v>
      </c>
      <c r="C44" s="15">
        <v>6.65</v>
      </c>
      <c r="D44" s="15">
        <f>B44/(C44*0.1802)</f>
        <v>0.50904174976842764</v>
      </c>
      <c r="E44" s="15"/>
      <c r="F44" s="15">
        <v>2.95</v>
      </c>
      <c r="G44" s="15"/>
      <c r="H44" s="16"/>
      <c r="I44" s="16"/>
      <c r="J44" t="s">
        <v>62</v>
      </c>
      <c r="L44" t="s">
        <v>61</v>
      </c>
    </row>
    <row r="45" spans="2:12" x14ac:dyDescent="0.25">
      <c r="B45" s="15">
        <f>(C45*0.1802)*D45</f>
        <v>5.3081052066559324E-2</v>
      </c>
      <c r="C45" s="15">
        <v>0.699705641075134</v>
      </c>
      <c r="D45" s="15">
        <v>0.42098765432098767</v>
      </c>
      <c r="E45" s="15"/>
      <c r="F45" s="15">
        <v>0</v>
      </c>
      <c r="G45" s="15"/>
      <c r="H45" s="15">
        <v>1.9871489766777723</v>
      </c>
      <c r="I45" s="15">
        <v>2.1618357487922704</v>
      </c>
      <c r="J45" t="s">
        <v>71</v>
      </c>
      <c r="L45" t="s">
        <v>60</v>
      </c>
    </row>
    <row r="46" spans="2:12" x14ac:dyDescent="0.25">
      <c r="B46" s="15">
        <f t="shared" ref="B46:B51" si="6">(C46*0.1802)*D46</f>
        <v>0.10184034966643664</v>
      </c>
      <c r="C46" s="15">
        <v>1.204665623427386</v>
      </c>
      <c r="D46" s="15">
        <v>0.46913580246913578</v>
      </c>
      <c r="E46" s="15"/>
      <c r="F46" s="15">
        <v>0</v>
      </c>
      <c r="G46" s="15"/>
      <c r="H46" s="15">
        <v>2.8081865778200856</v>
      </c>
      <c r="I46" s="15">
        <v>2.8864734299516908</v>
      </c>
      <c r="J46" t="s">
        <v>71</v>
      </c>
      <c r="L46" t="s">
        <v>60</v>
      </c>
    </row>
    <row r="47" spans="2:12" x14ac:dyDescent="0.25">
      <c r="B47" s="15">
        <f t="shared" si="6"/>
        <v>0.1917989417989418</v>
      </c>
      <c r="C47" s="15">
        <v>2.1542661363150675</v>
      </c>
      <c r="D47" s="15">
        <v>0.49407407407407405</v>
      </c>
      <c r="E47" s="15"/>
      <c r="F47" s="15">
        <v>0</v>
      </c>
      <c r="G47" s="15"/>
      <c r="H47" s="15">
        <v>4.5311756306520703</v>
      </c>
      <c r="I47" s="15">
        <v>4.7463768115942031</v>
      </c>
      <c r="J47" t="s">
        <v>71</v>
      </c>
      <c r="L47" t="s">
        <v>60</v>
      </c>
    </row>
    <row r="48" spans="2:12" x14ac:dyDescent="0.25">
      <c r="B48" s="15">
        <f t="shared" si="6"/>
        <v>0.29827191166321598</v>
      </c>
      <c r="C48" s="15">
        <v>3.3451444564700368</v>
      </c>
      <c r="D48" s="15">
        <v>0.49481481481481482</v>
      </c>
      <c r="E48" s="15"/>
      <c r="F48" s="15">
        <v>0</v>
      </c>
      <c r="G48" s="15"/>
      <c r="H48" s="15">
        <v>6.5909090909090908</v>
      </c>
      <c r="I48" s="15">
        <v>10</v>
      </c>
      <c r="J48" t="s">
        <v>71</v>
      </c>
      <c r="L48" t="s">
        <v>60</v>
      </c>
    </row>
    <row r="49" spans="2:12" x14ac:dyDescent="0.25">
      <c r="B49" s="15">
        <f t="shared" si="6"/>
        <v>0.4113419216317768</v>
      </c>
      <c r="C49" s="15">
        <v>4.6928533513487434</v>
      </c>
      <c r="D49" s="15">
        <v>0.48641975308641977</v>
      </c>
      <c r="E49" s="15"/>
      <c r="F49" s="15">
        <v>0.15509028470145123</v>
      </c>
      <c r="G49" s="15"/>
      <c r="H49" s="15">
        <v>8.6899095668729167</v>
      </c>
      <c r="I49" s="15">
        <v>10.640096618357488</v>
      </c>
      <c r="J49" t="s">
        <v>71</v>
      </c>
      <c r="L49" t="s">
        <v>60</v>
      </c>
    </row>
    <row r="50" spans="2:12" x14ac:dyDescent="0.25">
      <c r="B50" s="15">
        <f t="shared" si="6"/>
        <v>0.49603174603174605</v>
      </c>
      <c r="C50" s="15">
        <v>5.9457745362295862</v>
      </c>
      <c r="D50" s="15">
        <v>0.46296296296296297</v>
      </c>
      <c r="E50" s="15"/>
      <c r="F50" s="15">
        <v>1.8416971308297332</v>
      </c>
      <c r="G50" s="15"/>
      <c r="H50" s="15">
        <v>10.298667301285102</v>
      </c>
      <c r="I50" s="15">
        <v>15.374396135265702</v>
      </c>
      <c r="J50" t="s">
        <v>71</v>
      </c>
      <c r="L50" t="s">
        <v>60</v>
      </c>
    </row>
    <row r="51" spans="2:12" x14ac:dyDescent="0.25">
      <c r="B51" s="15">
        <f t="shared" si="6"/>
        <v>0.60226293995859215</v>
      </c>
      <c r="C51" s="15">
        <v>7.8742735814588345</v>
      </c>
      <c r="D51" s="15">
        <v>0.42444444444444446</v>
      </c>
      <c r="E51" s="15"/>
      <c r="F51" s="15">
        <v>6.1094494294893105</v>
      </c>
      <c r="G51" s="15"/>
      <c r="H51" s="15">
        <v>8.5768681580199893</v>
      </c>
      <c r="I51" s="15">
        <v>13.188405797101451</v>
      </c>
      <c r="J51" t="s">
        <v>71</v>
      </c>
      <c r="L51" t="s">
        <v>60</v>
      </c>
    </row>
    <row r="52" spans="2:12" x14ac:dyDescent="0.25">
      <c r="B52" s="15">
        <v>0.1</v>
      </c>
      <c r="C52" s="15">
        <v>1.52</v>
      </c>
      <c r="D52" s="15">
        <f>B52/(C52*0.1802)</f>
        <v>0.36509141889129043</v>
      </c>
      <c r="E52" s="16"/>
      <c r="F52" s="16"/>
      <c r="G52" s="16"/>
      <c r="H52" s="15">
        <v>4.6967999999999996</v>
      </c>
      <c r="I52" s="17">
        <v>4.75</v>
      </c>
      <c r="J52" t="s">
        <v>78</v>
      </c>
      <c r="L52" t="s">
        <v>60</v>
      </c>
    </row>
    <row r="53" spans="2:12" x14ac:dyDescent="0.25">
      <c r="B53" s="15">
        <v>0.2</v>
      </c>
      <c r="C53" s="15">
        <v>2.4700000000000002</v>
      </c>
      <c r="D53" s="15">
        <f t="shared" ref="D53:D55" si="7">B53/(C53*0.1802)</f>
        <v>0.44934328478928043</v>
      </c>
      <c r="E53" s="16"/>
      <c r="F53" s="16"/>
      <c r="G53" s="16"/>
      <c r="H53" s="15">
        <v>6.8913000000000002</v>
      </c>
      <c r="I53" s="17">
        <v>6.64</v>
      </c>
      <c r="J53" t="s">
        <v>78</v>
      </c>
      <c r="L53" t="s">
        <v>60</v>
      </c>
    </row>
    <row r="54" spans="2:12" x14ac:dyDescent="0.25">
      <c r="B54" s="15">
        <v>0.3</v>
      </c>
      <c r="C54" s="15">
        <v>4.25</v>
      </c>
      <c r="D54" s="15">
        <f t="shared" si="7"/>
        <v>0.39172161650453741</v>
      </c>
      <c r="E54" s="16"/>
      <c r="F54" s="16"/>
      <c r="G54" s="16"/>
      <c r="H54" s="15">
        <v>13.107000000000001</v>
      </c>
      <c r="I54" s="17">
        <v>12.58</v>
      </c>
      <c r="J54" t="s">
        <v>78</v>
      </c>
      <c r="L54" t="s">
        <v>60</v>
      </c>
    </row>
    <row r="55" spans="2:12" x14ac:dyDescent="0.25">
      <c r="B55" s="15">
        <v>0.4</v>
      </c>
      <c r="C55" s="15">
        <v>5.65</v>
      </c>
      <c r="D55" s="15">
        <f t="shared" si="7"/>
        <v>0.39287713749717623</v>
      </c>
      <c r="E55" s="16"/>
      <c r="F55" s="16"/>
      <c r="G55" s="16"/>
      <c r="H55" s="15">
        <v>17.3568</v>
      </c>
      <c r="I55" s="17">
        <v>16.82</v>
      </c>
      <c r="J55" t="s">
        <v>78</v>
      </c>
      <c r="L55" t="s">
        <v>60</v>
      </c>
    </row>
    <row r="56" spans="2:12" x14ac:dyDescent="0.25">
      <c r="B56" s="15">
        <v>0.85</v>
      </c>
      <c r="C56" s="15">
        <v>11.3</v>
      </c>
      <c r="D56" s="16">
        <v>0.42</v>
      </c>
      <c r="E56" s="15"/>
      <c r="F56" s="15">
        <v>7.1</v>
      </c>
      <c r="G56" s="15"/>
      <c r="H56" s="15">
        <v>19.600000000000001</v>
      </c>
      <c r="I56" s="17">
        <v>18.8</v>
      </c>
      <c r="J56" t="s">
        <v>79</v>
      </c>
      <c r="L56" t="s">
        <v>60</v>
      </c>
    </row>
    <row r="57" spans="2:12" x14ac:dyDescent="0.25">
      <c r="B57" s="15">
        <v>0.12</v>
      </c>
      <c r="C57" s="15">
        <v>2.2999999999999998</v>
      </c>
      <c r="D57" s="16">
        <v>0.28999999999999998</v>
      </c>
      <c r="E57" s="15"/>
      <c r="F57" s="15">
        <v>0</v>
      </c>
      <c r="G57" s="15"/>
      <c r="H57" s="15">
        <v>9</v>
      </c>
      <c r="I57" s="17">
        <v>8.6999999999999993</v>
      </c>
      <c r="J57" t="s">
        <v>79</v>
      </c>
      <c r="L57" t="s">
        <v>60</v>
      </c>
    </row>
    <row r="58" spans="2:12" x14ac:dyDescent="0.25">
      <c r="B58" s="2">
        <v>0.69</v>
      </c>
      <c r="C58" s="2">
        <v>8.59</v>
      </c>
      <c r="D58" s="2">
        <f>B58/(C58*0.1802)</f>
        <v>0.44576004672082115</v>
      </c>
      <c r="E58" s="2"/>
      <c r="F58" s="2">
        <v>3.91</v>
      </c>
      <c r="G58" s="2"/>
      <c r="J58" t="s">
        <v>80</v>
      </c>
      <c r="L58" t="s">
        <v>60</v>
      </c>
    </row>
    <row r="59" spans="2:12" x14ac:dyDescent="0.25">
      <c r="B59" s="2">
        <v>0.59</v>
      </c>
      <c r="C59" s="2">
        <v>7.81</v>
      </c>
      <c r="D59" s="2">
        <f t="shared" ref="D59:D61" si="8">B59/(C59*0.1802)</f>
        <v>0.41922405180756617</v>
      </c>
      <c r="E59" s="2"/>
      <c r="F59" s="2">
        <v>3.26</v>
      </c>
      <c r="G59" s="2"/>
      <c r="J59" s="18" t="s">
        <v>81</v>
      </c>
      <c r="L59" t="s">
        <v>60</v>
      </c>
    </row>
    <row r="60" spans="2:12" x14ac:dyDescent="0.25">
      <c r="B60" s="2">
        <v>0.61</v>
      </c>
      <c r="C60" s="2">
        <v>7.54</v>
      </c>
      <c r="D60" s="2">
        <f t="shared" si="8"/>
        <v>0.44895591988860001</v>
      </c>
      <c r="E60" s="2"/>
      <c r="F60" s="2">
        <v>2.72</v>
      </c>
      <c r="G60" s="2"/>
      <c r="J60" s="18" t="s">
        <v>81</v>
      </c>
      <c r="L60" t="s">
        <v>60</v>
      </c>
    </row>
    <row r="61" spans="2:12" x14ac:dyDescent="0.25">
      <c r="B61" s="2">
        <v>0.73</v>
      </c>
      <c r="C61" s="2">
        <v>9.5299999999999994</v>
      </c>
      <c r="D61" s="2">
        <f t="shared" si="8"/>
        <v>0.42508440545831672</v>
      </c>
      <c r="E61" s="2"/>
      <c r="F61" s="2">
        <v>3.49</v>
      </c>
      <c r="G61" s="2"/>
      <c r="J61" t="s">
        <v>82</v>
      </c>
      <c r="L61" t="s">
        <v>60</v>
      </c>
    </row>
    <row r="62" spans="2:12" x14ac:dyDescent="0.25">
      <c r="B62" s="2">
        <v>0.65</v>
      </c>
      <c r="C62" s="2">
        <v>9.65</v>
      </c>
      <c r="D62" s="2">
        <f>B62/(C62*0.1802)</f>
        <v>0.37379307965242992</v>
      </c>
      <c r="E62" s="2"/>
      <c r="F62" s="2">
        <v>6.83</v>
      </c>
      <c r="G62" s="2"/>
      <c r="J62" s="2" t="s">
        <v>83</v>
      </c>
      <c r="L62" t="s">
        <v>72</v>
      </c>
    </row>
  </sheetData>
  <hyperlinks>
    <hyperlink ref="J59" r:id="rId1" display="https://doi.org/10.1002/bit.25133" xr:uid="{E1D88127-1597-46A6-878B-417424129CA6}"/>
    <hyperlink ref="J60" r:id="rId2" display="https://doi.org/10.1002/bit.25133" xr:uid="{8D33159C-28E1-4030-94F3-E4F818569900}"/>
  </hyperlinks>
  <pageMargins left="0.7" right="0.7" top="0.78740157499999996" bottom="0.78740157499999996" header="0.3" footer="0.3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D3BE551960214CAA4120E3DF7DC3B8" ma:contentTypeVersion="2" ma:contentTypeDescription="Ein neues Dokument erstellen." ma:contentTypeScope="" ma:versionID="535ddc652723c7142e9f66e994fbee47">
  <xsd:schema xmlns:xsd="http://www.w3.org/2001/XMLSchema" xmlns:xs="http://www.w3.org/2001/XMLSchema" xmlns:p="http://schemas.microsoft.com/office/2006/metadata/properties" xmlns:ns2="afd73b97-26da-4832-b47e-32a036c31d0e" targetNamespace="http://schemas.microsoft.com/office/2006/metadata/properties" ma:root="true" ma:fieldsID="43e35c5d37a32e7acf5e43ff12a64094" ns2:_="">
    <xsd:import namespace="afd73b97-26da-4832-b47e-32a036c31d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73b97-26da-4832-b47e-32a036c31d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C133A9-B568-4EB2-8637-52F42BB94249}"/>
</file>

<file path=customXml/itemProps2.xml><?xml version="1.0" encoding="utf-8"?>
<ds:datastoreItem xmlns:ds="http://schemas.openxmlformats.org/officeDocument/2006/customXml" ds:itemID="{7B0CE5BD-E60D-4321-ACE9-D703E7BFDD05}"/>
</file>

<file path=customXml/itemProps3.xml><?xml version="1.0" encoding="utf-8"?>
<ds:datastoreItem xmlns:ds="http://schemas.openxmlformats.org/officeDocument/2006/customXml" ds:itemID="{E6BDF290-2002-46EB-B566-3E653536D9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Phenotypic data</vt:lpstr>
      <vt:lpstr>Valgepea 2010</vt:lpstr>
      <vt:lpstr>Perrenoud 2005</vt:lpstr>
      <vt:lpstr>Nanchen 2006</vt:lpstr>
      <vt:lpstr>Peebo 2015</vt:lpstr>
      <vt:lpstr>Yao 2011</vt:lpstr>
      <vt:lpstr>Vemuri 2006</vt:lpstr>
      <vt:lpstr>Kayser 2004</vt:lpstr>
      <vt:lpstr>Folsom 2014</vt:lpstr>
      <vt:lpstr>Folsom 2015</vt:lpstr>
      <vt:lpstr>Monk 2016</vt:lpstr>
      <vt:lpstr>Fischer 2003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Alter,Tobias</dc:creator>
  <cp:lastModifiedBy>Alter,Tobias</cp:lastModifiedBy>
  <dcterms:created xsi:type="dcterms:W3CDTF">2018-07-18T14:11:38Z</dcterms:created>
  <dcterms:modified xsi:type="dcterms:W3CDTF">2019-07-04T11:03:19Z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0x010100E5D3BE551960214CAA4120E3DF7DC3B8</vt:lpwstr>
  </property>
</Properties>
</file>