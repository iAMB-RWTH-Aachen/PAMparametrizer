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ME" sheetId="1" state="visible" r:id="rId2"/>
    <sheet name="exchanges" sheetId="2" state="visible" r:id="rId3"/>
    <sheet name="fluxomics_benzoate" sheetId="3" state="visible" r:id="rId4"/>
    <sheet name="fluxomics_glucose" sheetId="4" state="visible" r:id="rId5"/>
    <sheet name="fluxomics_fructose" sheetId="5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<sst xmlns="http://schemas.openxmlformats.org/spreadsheetml/2006/main" count="257" uniqueCount="125">
  <si>
    <t xml:space="preserve">exchanges</t>
  </si>
  <si>
    <t xml:space="preserve">measured exchange rates for different carbon sources</t>
  </si>
  <si>
    <t xml:space="preserve">column headers represent the reaction identifiers of the exchanges in the iJN1463 model</t>
  </si>
  <si>
    <t xml:space="preserve">explanation of the column headers and the units below</t>
  </si>
  <si>
    <t xml:space="preserve">BIOMASS_KT2440_WT3</t>
  </si>
  <si>
    <t xml:space="preserve">EX_glc__D_e</t>
  </si>
  <si>
    <t xml:space="preserve">EX_glcn_e"</t>
  </si>
  <si>
    <t xml:space="preserve">EX_25dkglcn_e</t>
  </si>
  <si>
    <t xml:space="preserve">EX_succ_e</t>
  </si>
  <si>
    <t xml:space="preserve">EX_for_e</t>
  </si>
  <si>
    <t xml:space="preserve">EX_octa_e</t>
  </si>
  <si>
    <t xml:space="preserve">EX_glyc_e</t>
  </si>
  <si>
    <t xml:space="preserve">M_Xylt1</t>
  </si>
  <si>
    <t xml:space="preserve">EX_fru_e</t>
  </si>
  <si>
    <t xml:space="preserve">TOLtex</t>
  </si>
  <si>
    <t xml:space="preserve">Reaction name</t>
  </si>
  <si>
    <t xml:space="preserve">Growth rate</t>
  </si>
  <si>
    <t xml:space="preserve">Glucose exchange</t>
  </si>
  <si>
    <t xml:space="preserve">Gluconate exchange</t>
  </si>
  <si>
    <t xml:space="preserve">2-Ketogluconate exchange</t>
  </si>
  <si>
    <t xml:space="preserve">Succinate exchange</t>
  </si>
  <si>
    <t xml:space="preserve">Formate exchange</t>
  </si>
  <si>
    <t xml:space="preserve">Octanoate exchange</t>
  </si>
  <si>
    <t xml:space="preserve">Glycerol exchange</t>
  </si>
  <si>
    <t xml:space="preserve">m-Xylene exchange</t>
  </si>
  <si>
    <t xml:space="preserve">Fructose exchange</t>
  </si>
  <si>
    <t xml:space="preserve">Toluene exchange</t>
  </si>
  <si>
    <t xml:space="preserve">Unit</t>
  </si>
  <si>
    <t xml:space="preserve">1/h</t>
  </si>
  <si>
    <t xml:space="preserve">mmol/gDW/h</t>
  </si>
  <si>
    <t xml:space="preserve">Fluxomics datasets in mmol/g_cdw/h</t>
  </si>
  <si>
    <t xml:space="preserve">EX_glcn_e</t>
  </si>
  <si>
    <t xml:space="preserve">Strain</t>
  </si>
  <si>
    <t xml:space="preserve">Reference</t>
  </si>
  <si>
    <t xml:space="preserve">Info</t>
  </si>
  <si>
    <t xml:space="preserve">P. putida KT2440</t>
  </si>
  <si>
    <t xml:space="preserve">10.1128/AEM.05588-11</t>
  </si>
  <si>
    <t xml:space="preserve">Empty pCOM10 expressed</t>
  </si>
  <si>
    <t xml:space="preserve">P. putida Gpo12</t>
  </si>
  <si>
    <t xml:space="preserve">10.1111/j.1742-4658.2008.06648.x</t>
  </si>
  <si>
    <t xml:space="preserve">P. putida S12</t>
  </si>
  <si>
    <t xml:space="preserve">P. putida DOT-T1E</t>
  </si>
  <si>
    <t xml:space="preserve">KT2440</t>
  </si>
  <si>
    <t xml:space="preserve">10.1128/JB.00203-07</t>
  </si>
  <si>
    <t xml:space="preserve">10.1074/jbc.M115.687749</t>
  </si>
  <si>
    <t xml:space="preserve">KT2440(pWW0)</t>
  </si>
  <si>
    <t xml:space="preserve">10.1128/JB.00679-07</t>
  </si>
  <si>
    <t xml:space="preserve">pWW0 plasmid for toluene degradation. the gluconate and ketogluconate is not specify so the net carbon uptake might differ</t>
  </si>
  <si>
    <t xml:space="preserve">Gpo12</t>
  </si>
  <si>
    <t xml:space="preserve">S12</t>
  </si>
  <si>
    <t xml:space="preserve">10.1002/elsc.201600072</t>
  </si>
  <si>
    <t xml:space="preserve">Batch experiment. Glucose uptake rate is the sum of glucose,gluconate, and 2-ketogluconate</t>
  </si>
  <si>
    <t xml:space="preserve">Chemostat experiment. Glucose uptake rate is the sum of glucose,gluconate, and 2-ketogluconate</t>
  </si>
  <si>
    <t xml:space="preserve">KT2442</t>
  </si>
  <si>
    <t xml:space="preserve">10.1111/j.1462-2920.2011.02684.x</t>
  </si>
  <si>
    <t xml:space="preserve">10.1186/s12934-016-0470-2</t>
  </si>
  <si>
    <t xml:space="preserve">Chemostat experiment</t>
  </si>
  <si>
    <t xml:space="preserve">10.1099/00221287-143-7-2331</t>
  </si>
  <si>
    <t xml:space="preserve">MAD2</t>
  </si>
  <si>
    <t xml:space="preserve">10.1128/mBio.00028-12</t>
  </si>
  <si>
    <t xml:space="preserve">Wild type</t>
  </si>
  <si>
    <t xml:space="preserve">10.1111/1462-2920.12224</t>
  </si>
  <si>
    <t xml:space="preserve">EX_bz_e</t>
  </si>
  <si>
    <t xml:space="preserve">BZ12DOX</t>
  </si>
  <si>
    <t xml:space="preserve">BZDIOLDH</t>
  </si>
  <si>
    <t xml:space="preserve">CATDOX</t>
  </si>
  <si>
    <t xml:space="preserve">MUCCYCI</t>
  </si>
  <si>
    <t xml:space="preserve">MUCLI</t>
  </si>
  <si>
    <t xml:space="preserve">OXOAEL</t>
  </si>
  <si>
    <t xml:space="preserve">3OADPCOAT</t>
  </si>
  <si>
    <t xml:space="preserve">3OXCOAT</t>
  </si>
  <si>
    <t xml:space="preserve">CS</t>
  </si>
  <si>
    <t xml:space="preserve">ACONTa</t>
  </si>
  <si>
    <t xml:space="preserve">ACONTb</t>
  </si>
  <si>
    <t xml:space="preserve">ICL</t>
  </si>
  <si>
    <t xml:space="preserve">SUCDi</t>
  </si>
  <si>
    <t xml:space="preserve">FUM</t>
  </si>
  <si>
    <t xml:space="preserve">MDH</t>
  </si>
  <si>
    <t xml:space="preserve">OAADC</t>
  </si>
  <si>
    <t xml:space="preserve">PDH</t>
  </si>
  <si>
    <t xml:space="preserve">ICDHyr</t>
  </si>
  <si>
    <t xml:space="preserve">AKGDH</t>
  </si>
  <si>
    <t xml:space="preserve">SUCOAS</t>
  </si>
  <si>
    <t xml:space="preserve">NADTRHD</t>
  </si>
  <si>
    <t xml:space="preserve">PPS</t>
  </si>
  <si>
    <t xml:space="preserve">ENO</t>
  </si>
  <si>
    <t xml:space="preserve">PGM</t>
  </si>
  <si>
    <t xml:space="preserve">PGK</t>
  </si>
  <si>
    <t xml:space="preserve">GAPD</t>
  </si>
  <si>
    <t xml:space="preserve">TPI</t>
  </si>
  <si>
    <t xml:space="preserve">FBA</t>
  </si>
  <si>
    <t xml:space="preserve">FBP</t>
  </si>
  <si>
    <t xml:space="preserve">PGI</t>
  </si>
  <si>
    <t xml:space="preserve">TALA</t>
  </si>
  <si>
    <t xml:space="preserve">TKT2</t>
  </si>
  <si>
    <t xml:space="preserve">TKT1</t>
  </si>
  <si>
    <t xml:space="preserve">10.1016/j.meteno.2016.03.005</t>
  </si>
  <si>
    <t xml:space="preserve">10.1128/AEM.01643-14 (benzoate)</t>
  </si>
  <si>
    <t xml:space="preserve">GLCDpp</t>
  </si>
  <si>
    <t xml:space="preserve">GAD2ktpp</t>
  </si>
  <si>
    <t xml:space="preserve">HEX1</t>
  </si>
  <si>
    <t xml:space="preserve">G6PDH2r</t>
  </si>
  <si>
    <t xml:space="preserve">PGL</t>
  </si>
  <si>
    <t xml:space="preserve">EDD</t>
  </si>
  <si>
    <t xml:space="preserve">EDA</t>
  </si>
  <si>
    <t xml:space="preserve">GNK</t>
  </si>
  <si>
    <t xml:space="preserve">2DHGLCK</t>
  </si>
  <si>
    <t xml:space="preserve">PGLCNDH</t>
  </si>
  <si>
    <t xml:space="preserve">GND</t>
  </si>
  <si>
    <t xml:space="preserve">RPI</t>
  </si>
  <si>
    <t xml:space="preserve">RPE</t>
  </si>
  <si>
    <t xml:space="preserve">PYK</t>
  </si>
  <si>
    <t xml:space="preserve">PC</t>
  </si>
  <si>
    <t xml:space="preserve">ME2</t>
  </si>
  <si>
    <t xml:space="preserve">PPCK</t>
  </si>
  <si>
    <t xml:space="preserve">10.1111/j.1742-4658.2008.06648.x (KT2440)</t>
  </si>
  <si>
    <t xml:space="preserve"> 10.1111/j.1742-4658.2008.06648.x (Gpo12)</t>
  </si>
  <si>
    <t xml:space="preserve">10.1111/j.1742-4658.2008.06648.x (S12)</t>
  </si>
  <si>
    <t xml:space="preserve">AEM.01643-14 (glucose)</t>
  </si>
  <si>
    <t xml:space="preserve">10.1002/elsc.201600072 (batch)</t>
  </si>
  <si>
    <t xml:space="preserve">10.1002/elsc.201600072 (Chemostat)</t>
  </si>
  <si>
    <t xml:space="preserve">FRUtex</t>
  </si>
  <si>
    <t xml:space="preserve">FRUptspp</t>
  </si>
  <si>
    <t xml:space="preserve">FRUK</t>
  </si>
  <si>
    <t xml:space="preserve">10.1128/AEM.01643-14 (fructose)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</si>
</sst>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JetBrains Mono"/>
      <family val="3"/>
      <charset val="1"/>
    </font>
    <font>
      <b val="true"/>
      <sz val="10"/>
      <name val="Arial"/>
      <family val="2"/>
      <charset val="1"/>
    </font>
    <font>
      <b val="true"/>
      <sz val="10"/>
      <color rgb="FF000000"/>
      <name val="JetBrains Mono"/>
      <family val="3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7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5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11.57031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2" t="s">
        <v>1</v>
      </c>
    </row>
    <row r="2" customFormat="false" ht="12.8" hidden="false" customHeight="false" outlineLevel="0" collapsed="false">
      <c r="B2" s="2" t="s">
        <v>2</v>
      </c>
    </row>
    <row r="3" customFormat="false" ht="12.8" hidden="false" customHeight="false" outlineLevel="0" collapsed="false">
      <c r="B3" s="2" t="s">
        <v>3</v>
      </c>
    </row>
    <row r="5" customFormat="false" ht="12.8" hidden="false" customHeight="false" outlineLevel="0" collapsed="false"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3" t="s">
        <v>14</v>
      </c>
    </row>
    <row r="6" customFormat="false" ht="13.8" hidden="false" customHeight="false" outlineLevel="0" collapsed="false">
      <c r="B6" s="4" t="s">
        <v>15</v>
      </c>
      <c r="C6" s="5" t="s">
        <v>16</v>
      </c>
      <c r="D6" s="5" t="s">
        <v>17</v>
      </c>
      <c r="E6" s="5" t="s">
        <v>18</v>
      </c>
      <c r="F6" s="5" t="s">
        <v>19</v>
      </c>
      <c r="G6" s="5" t="s">
        <v>20</v>
      </c>
      <c r="H6" s="5" t="s">
        <v>21</v>
      </c>
      <c r="I6" s="5" t="s">
        <v>22</v>
      </c>
      <c r="J6" s="5" t="s">
        <v>23</v>
      </c>
      <c r="K6" s="5" t="s">
        <v>24</v>
      </c>
      <c r="L6" s="5" t="s">
        <v>25</v>
      </c>
      <c r="M6" s="5" t="s">
        <v>26</v>
      </c>
    </row>
    <row r="7" customFormat="false" ht="12.8" hidden="false" customHeight="false" outlineLevel="0" collapsed="false">
      <c r="B7" s="6" t="s">
        <v>27</v>
      </c>
      <c r="C7" s="7" t="s">
        <v>28</v>
      </c>
      <c r="D7" s="7" t="s">
        <v>29</v>
      </c>
      <c r="E7" s="7" t="s">
        <v>29</v>
      </c>
      <c r="F7" s="7" t="s">
        <v>29</v>
      </c>
      <c r="G7" s="7" t="s">
        <v>29</v>
      </c>
      <c r="H7" s="7" t="s">
        <v>29</v>
      </c>
      <c r="I7" s="7" t="s">
        <v>29</v>
      </c>
      <c r="J7" s="7" t="s">
        <v>29</v>
      </c>
      <c r="K7" s="7" t="s">
        <v>29</v>
      </c>
      <c r="L7" s="7" t="s">
        <v>29</v>
      </c>
      <c r="M7" s="7" t="s">
        <v>29</v>
      </c>
    </row>
    <row r="10" customFormat="false" ht="12.8" hidden="false" customHeight="false" outlineLevel="0" collapsed="false">
      <c r="A10" s="8" t="s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11.5703125" defaultRowHeight="12.8" zeroHeight="false" outlineLevelRow="0" outlineLevelCol="0"/>
  <sheetData>
    <row r="1" s="8" customFormat="true" ht="12.8" hidden="false" customHeight="false" outlineLevel="0" collapsed="false">
      <c r="A1" s="9" t="s">
        <v>4</v>
      </c>
      <c r="B1" s="9" t="s">
        <v>5</v>
      </c>
      <c r="C1" s="9" t="s">
        <v>31</v>
      </c>
      <c r="D1" s="9" t="s">
        <v>7</v>
      </c>
      <c r="E1" s="9" t="s">
        <v>8</v>
      </c>
      <c r="F1" s="9" t="s">
        <v>10</v>
      </c>
      <c r="G1" s="9" t="s">
        <v>11</v>
      </c>
      <c r="H1" s="9" t="s">
        <v>12</v>
      </c>
      <c r="I1" s="9" t="s">
        <v>13</v>
      </c>
      <c r="J1" s="9" t="s">
        <v>14</v>
      </c>
      <c r="K1" s="8" t="s">
        <v>32</v>
      </c>
      <c r="L1" s="8" t="s">
        <v>33</v>
      </c>
      <c r="M1" s="8" t="s">
        <v>34</v>
      </c>
      <c r="AMJ1" s="0"/>
    </row>
    <row r="2" customFormat="false" ht="13.8" hidden="false" customHeight="false" outlineLevel="0" collapsed="false">
      <c r="A2" s="10" t="n">
        <v>0.73</v>
      </c>
      <c r="B2" s="10" t="n">
        <v>-7.3</v>
      </c>
      <c r="C2" s="10"/>
      <c r="D2" s="10"/>
      <c r="E2" s="10"/>
      <c r="F2" s="10"/>
      <c r="G2" s="10"/>
      <c r="H2" s="10"/>
      <c r="I2" s="10"/>
      <c r="J2" s="10"/>
      <c r="K2" s="10" t="s">
        <v>35</v>
      </c>
      <c r="L2" s="11" t="s">
        <v>36</v>
      </c>
    </row>
    <row r="3" customFormat="false" ht="13.8" hidden="false" customHeight="false" outlineLevel="0" collapsed="false">
      <c r="A3" s="10" t="n">
        <v>0.48</v>
      </c>
      <c r="B3" s="10" t="n">
        <v>-5.1</v>
      </c>
      <c r="C3" s="10"/>
      <c r="D3" s="10"/>
      <c r="E3" s="10"/>
      <c r="F3" s="10"/>
      <c r="G3" s="10"/>
      <c r="H3" s="10"/>
      <c r="I3" s="10"/>
      <c r="J3" s="10"/>
      <c r="K3" s="10" t="s">
        <v>35</v>
      </c>
      <c r="L3" s="11" t="s">
        <v>36</v>
      </c>
      <c r="M3" s="2" t="s">
        <v>37</v>
      </c>
    </row>
    <row r="4" customFormat="false" ht="12.8" hidden="false" customHeight="false" outlineLevel="0" collapsed="false">
      <c r="A4" s="10" t="n">
        <v>0.48</v>
      </c>
      <c r="B4" s="10" t="n">
        <v>-7</v>
      </c>
      <c r="C4" s="10" t="n">
        <v>1.5</v>
      </c>
      <c r="D4" s="10" t="n">
        <v>0.5</v>
      </c>
      <c r="E4" s="10"/>
      <c r="F4" s="10"/>
      <c r="G4" s="10"/>
      <c r="H4" s="10"/>
      <c r="I4" s="10"/>
      <c r="J4" s="10"/>
      <c r="K4" s="10" t="s">
        <v>38</v>
      </c>
      <c r="L4" s="2" t="s">
        <v>39</v>
      </c>
    </row>
    <row r="5" customFormat="false" ht="12.8" hidden="false" customHeight="false" outlineLevel="0" collapsed="false">
      <c r="A5" s="10" t="n">
        <v>0.57</v>
      </c>
      <c r="B5" s="10" t="n">
        <v>-10.9</v>
      </c>
      <c r="C5" s="10" t="n">
        <v>2.8</v>
      </c>
      <c r="D5" s="10" t="n">
        <v>2.6</v>
      </c>
      <c r="E5" s="10"/>
      <c r="F5" s="10"/>
      <c r="G5" s="10"/>
      <c r="H5" s="10"/>
      <c r="I5" s="10"/>
      <c r="J5" s="10"/>
      <c r="K5" s="10" t="s">
        <v>35</v>
      </c>
      <c r="L5" s="2" t="s">
        <v>39</v>
      </c>
    </row>
    <row r="6" customFormat="false" ht="12.8" hidden="false" customHeight="false" outlineLevel="0" collapsed="false">
      <c r="A6" s="10" t="n">
        <v>0.52</v>
      </c>
      <c r="B6" s="10" t="n">
        <v>-19.1</v>
      </c>
      <c r="C6" s="10" t="n">
        <v>5.1</v>
      </c>
      <c r="D6" s="10" t="n">
        <v>7.2</v>
      </c>
      <c r="E6" s="10"/>
      <c r="F6" s="10"/>
      <c r="G6" s="10"/>
      <c r="H6" s="10"/>
      <c r="I6" s="10"/>
      <c r="J6" s="10"/>
      <c r="K6" s="10" t="s">
        <v>40</v>
      </c>
      <c r="L6" s="2" t="s">
        <v>39</v>
      </c>
    </row>
    <row r="7" customFormat="false" ht="12.8" hidden="false" customHeight="false" outlineLevel="0" collapsed="false">
      <c r="A7" s="10" t="n">
        <v>0.6</v>
      </c>
      <c r="B7" s="10" t="n">
        <v>-16.3</v>
      </c>
      <c r="C7" s="10" t="n">
        <v>7.4</v>
      </c>
      <c r="D7" s="10" t="n">
        <v>2.4</v>
      </c>
      <c r="E7" s="10"/>
      <c r="F7" s="10"/>
      <c r="G7" s="10"/>
      <c r="H7" s="10"/>
      <c r="I7" s="10"/>
      <c r="J7" s="10"/>
      <c r="K7" s="10" t="s">
        <v>41</v>
      </c>
      <c r="L7" s="2" t="s">
        <v>39</v>
      </c>
    </row>
    <row r="8" customFormat="false" ht="12.8" hidden="false" customHeight="false" outlineLevel="0" collapsed="false">
      <c r="A8" s="10" t="n">
        <v>0.56</v>
      </c>
      <c r="B8" s="10" t="n">
        <v>-6.31</v>
      </c>
      <c r="C8" s="10" t="n">
        <v>1.75</v>
      </c>
      <c r="D8" s="10" t="n">
        <v>0.53</v>
      </c>
      <c r="E8" s="10"/>
      <c r="F8" s="10"/>
      <c r="G8" s="10"/>
      <c r="H8" s="10"/>
      <c r="I8" s="10"/>
      <c r="J8" s="10"/>
      <c r="K8" s="10" t="s">
        <v>42</v>
      </c>
      <c r="L8" s="2" t="s">
        <v>43</v>
      </c>
    </row>
    <row r="9" customFormat="false" ht="12.8" hidden="false" customHeight="false" outlineLevel="0" collapsed="false">
      <c r="A9" s="10" t="n">
        <v>0.55</v>
      </c>
      <c r="B9" s="10" t="n">
        <v>-6.14</v>
      </c>
      <c r="C9" s="10" t="n">
        <v>2.13</v>
      </c>
      <c r="D9" s="10" t="n">
        <v>0.44</v>
      </c>
      <c r="E9" s="10"/>
      <c r="F9" s="10"/>
      <c r="G9" s="10"/>
      <c r="H9" s="10"/>
      <c r="I9" s="10"/>
      <c r="J9" s="10"/>
      <c r="K9" s="10" t="s">
        <v>42</v>
      </c>
      <c r="L9" s="2" t="s">
        <v>44</v>
      </c>
    </row>
    <row r="10" customFormat="false" ht="12.8" hidden="false" customHeight="false" outlineLevel="0" collapsed="false">
      <c r="A10" s="10" t="n">
        <v>0.71</v>
      </c>
      <c r="B10" s="12"/>
      <c r="C10" s="10"/>
      <c r="D10" s="10"/>
      <c r="E10" s="10" t="n">
        <v>-4.35</v>
      </c>
      <c r="F10" s="10"/>
      <c r="G10" s="10"/>
      <c r="H10" s="10"/>
      <c r="I10" s="10"/>
      <c r="J10" s="10"/>
      <c r="K10" s="10" t="s">
        <v>42</v>
      </c>
      <c r="L10" s="2" t="s">
        <v>44</v>
      </c>
    </row>
    <row r="11" customFormat="false" ht="12.8" hidden="false" customHeight="false" outlineLevel="0" collapsed="false">
      <c r="A11" s="10" t="n">
        <v>0.72</v>
      </c>
      <c r="B11" s="10"/>
      <c r="C11" s="10"/>
      <c r="D11" s="10"/>
      <c r="E11" s="10"/>
      <c r="F11" s="10"/>
      <c r="G11" s="10"/>
      <c r="H11" s="10"/>
      <c r="I11" s="10"/>
      <c r="J11" s="10" t="n">
        <v>-11.9</v>
      </c>
      <c r="K11" s="10" t="s">
        <v>45</v>
      </c>
      <c r="L11" s="2" t="s">
        <v>46</v>
      </c>
      <c r="M11" s="2" t="s">
        <v>47</v>
      </c>
    </row>
    <row r="12" customFormat="false" ht="12.8" hidden="false" customHeight="false" outlineLevel="0" collapsed="false">
      <c r="A12" s="10" t="n">
        <v>0.74</v>
      </c>
      <c r="B12" s="10" t="n">
        <v>-5.7</v>
      </c>
      <c r="C12" s="10"/>
      <c r="D12" s="10"/>
      <c r="E12" s="10"/>
      <c r="F12" s="10"/>
      <c r="G12" s="10"/>
      <c r="H12" s="10"/>
      <c r="I12" s="10"/>
      <c r="J12" s="10" t="n">
        <v>-6.4</v>
      </c>
      <c r="K12" s="10" t="s">
        <v>45</v>
      </c>
      <c r="L12" s="2" t="s">
        <v>46</v>
      </c>
      <c r="M12" s="2" t="s">
        <v>47</v>
      </c>
    </row>
    <row r="13" customFormat="false" ht="12.8" hidden="false" customHeight="false" outlineLevel="0" collapsed="false">
      <c r="A13" s="10" t="n">
        <v>0.48</v>
      </c>
      <c r="B13" s="10" t="n">
        <v>-7</v>
      </c>
      <c r="C13" s="10" t="n">
        <v>1.5</v>
      </c>
      <c r="D13" s="10" t="n">
        <v>0.5</v>
      </c>
      <c r="E13" s="10"/>
      <c r="F13" s="10"/>
      <c r="G13" s="10"/>
      <c r="H13" s="10"/>
      <c r="I13" s="10"/>
      <c r="J13" s="10"/>
      <c r="K13" s="12" t="s">
        <v>48</v>
      </c>
      <c r="L13" s="2" t="s">
        <v>39</v>
      </c>
    </row>
    <row r="14" customFormat="false" ht="12.8" hidden="false" customHeight="false" outlineLevel="0" collapsed="false">
      <c r="A14" s="10" t="n">
        <v>0.57</v>
      </c>
      <c r="B14" s="10" t="n">
        <v>-10.9</v>
      </c>
      <c r="C14" s="10" t="n">
        <v>2.8</v>
      </c>
      <c r="D14" s="10" t="n">
        <v>2.6</v>
      </c>
      <c r="E14" s="10"/>
      <c r="F14" s="10"/>
      <c r="G14" s="10"/>
      <c r="H14" s="10"/>
      <c r="I14" s="10"/>
      <c r="J14" s="10"/>
      <c r="K14" s="12" t="s">
        <v>42</v>
      </c>
      <c r="L14" s="2" t="s">
        <v>39</v>
      </c>
    </row>
    <row r="15" customFormat="false" ht="12.8" hidden="false" customHeight="false" outlineLevel="0" collapsed="false">
      <c r="A15" s="10" t="n">
        <v>0.52</v>
      </c>
      <c r="B15" s="10" t="n">
        <v>-19.1</v>
      </c>
      <c r="C15" s="10" t="n">
        <v>5.1</v>
      </c>
      <c r="D15" s="10" t="n">
        <v>7.2</v>
      </c>
      <c r="E15" s="10"/>
      <c r="F15" s="10"/>
      <c r="G15" s="10"/>
      <c r="H15" s="10"/>
      <c r="I15" s="10"/>
      <c r="J15" s="10"/>
      <c r="K15" s="12" t="s">
        <v>49</v>
      </c>
      <c r="L15" s="2" t="s">
        <v>39</v>
      </c>
    </row>
    <row r="16" customFormat="false" ht="12.8" hidden="false" customHeight="false" outlineLevel="0" collapsed="false">
      <c r="A16" s="10" t="n">
        <v>0.61</v>
      </c>
      <c r="B16" s="10" t="n">
        <v>-6</v>
      </c>
      <c r="C16" s="10"/>
      <c r="D16" s="10"/>
      <c r="E16" s="10"/>
      <c r="F16" s="10"/>
      <c r="G16" s="10"/>
      <c r="H16" s="10"/>
      <c r="I16" s="10"/>
      <c r="J16" s="10"/>
      <c r="K16" s="10" t="s">
        <v>42</v>
      </c>
      <c r="L16" s="2" t="s">
        <v>50</v>
      </c>
      <c r="M16" s="2" t="s">
        <v>51</v>
      </c>
    </row>
    <row r="17" customFormat="false" ht="12.8" hidden="false" customHeight="false" outlineLevel="0" collapsed="false">
      <c r="A17" s="10" t="n">
        <v>0.2</v>
      </c>
      <c r="B17" s="10" t="n">
        <v>-2</v>
      </c>
      <c r="C17" s="10"/>
      <c r="D17" s="10"/>
      <c r="E17" s="10"/>
      <c r="F17" s="10"/>
      <c r="G17" s="10"/>
      <c r="H17" s="10"/>
      <c r="I17" s="10"/>
      <c r="J17" s="10"/>
      <c r="K17" s="10" t="s">
        <v>42</v>
      </c>
      <c r="L17" s="2" t="s">
        <v>50</v>
      </c>
      <c r="M17" s="2" t="s">
        <v>52</v>
      </c>
    </row>
    <row r="18" customFormat="false" ht="12.8" hidden="false" customHeight="false" outlineLevel="0" collapsed="false">
      <c r="A18" s="10" t="n">
        <v>0.29</v>
      </c>
      <c r="B18" s="10"/>
      <c r="C18" s="10"/>
      <c r="D18" s="10"/>
      <c r="E18" s="10"/>
      <c r="F18" s="10" t="n">
        <v>-3.4</v>
      </c>
      <c r="G18" s="10"/>
      <c r="H18" s="10"/>
      <c r="I18" s="10"/>
      <c r="J18" s="10"/>
      <c r="K18" s="10" t="s">
        <v>53</v>
      </c>
      <c r="L18" s="2" t="s">
        <v>54</v>
      </c>
    </row>
    <row r="19" customFormat="false" ht="12.8" hidden="false" customHeight="false" outlineLevel="0" collapsed="false">
      <c r="A19" s="10" t="n">
        <v>0.044</v>
      </c>
      <c r="B19" s="10"/>
      <c r="C19" s="10"/>
      <c r="D19" s="10"/>
      <c r="E19" s="10"/>
      <c r="F19" s="10"/>
      <c r="G19" s="10" t="n">
        <f aca="false">-0.095/92.09382*1000</f>
        <v>-1.03155673203696</v>
      </c>
      <c r="H19" s="10"/>
      <c r="I19" s="10"/>
      <c r="J19" s="10"/>
      <c r="K19" s="10" t="s">
        <v>42</v>
      </c>
      <c r="L19" s="2" t="s">
        <v>55</v>
      </c>
      <c r="M19" s="2" t="s">
        <v>56</v>
      </c>
    </row>
    <row r="20" customFormat="false" ht="12.8" hidden="false" customHeight="false" outlineLevel="0" collapsed="false">
      <c r="A20" s="10" t="n">
        <v>0.066</v>
      </c>
      <c r="B20" s="10"/>
      <c r="C20" s="10"/>
      <c r="D20" s="10"/>
      <c r="E20" s="10"/>
      <c r="F20" s="10"/>
      <c r="G20" s="10" t="n">
        <f aca="false">-0.137/92.09382*1000</f>
        <v>-1.48761339251646</v>
      </c>
      <c r="H20" s="10"/>
      <c r="I20" s="10"/>
      <c r="J20" s="10"/>
      <c r="K20" s="10" t="s">
        <v>42</v>
      </c>
      <c r="L20" s="2" t="s">
        <v>55</v>
      </c>
      <c r="M20" s="2" t="s">
        <v>56</v>
      </c>
    </row>
    <row r="21" customFormat="false" ht="12.8" hidden="false" customHeight="false" outlineLevel="0" collapsed="false">
      <c r="A21" s="10" t="n">
        <v>0.088</v>
      </c>
      <c r="B21" s="10"/>
      <c r="C21" s="10"/>
      <c r="D21" s="10"/>
      <c r="E21" s="10"/>
      <c r="F21" s="10"/>
      <c r="G21" s="10" t="n">
        <f aca="false">-0.168/92.09382*1000</f>
        <v>-1.82422664191799</v>
      </c>
      <c r="H21" s="10"/>
      <c r="I21" s="10"/>
      <c r="J21" s="10"/>
      <c r="K21" s="10" t="s">
        <v>42</v>
      </c>
      <c r="L21" s="2" t="s">
        <v>55</v>
      </c>
      <c r="M21" s="2" t="s">
        <v>56</v>
      </c>
    </row>
    <row r="22" customFormat="false" ht="12.8" hidden="false" customHeight="false" outlineLevel="0" collapsed="false">
      <c r="A22" s="10" t="n">
        <v>0.109</v>
      </c>
      <c r="B22" s="10"/>
      <c r="C22" s="10"/>
      <c r="D22" s="10"/>
      <c r="E22" s="10"/>
      <c r="F22" s="10"/>
      <c r="G22" s="10" t="n">
        <f aca="false">-0.215/92.09382*1000</f>
        <v>-2.33457576197838</v>
      </c>
      <c r="H22" s="10"/>
      <c r="I22" s="10"/>
      <c r="J22" s="10"/>
      <c r="K22" s="10" t="s">
        <v>42</v>
      </c>
      <c r="L22" s="2" t="s">
        <v>55</v>
      </c>
      <c r="M22" s="2" t="s">
        <v>56</v>
      </c>
    </row>
    <row r="23" customFormat="false" ht="12.8" hidden="false" customHeight="false" outlineLevel="0" collapsed="false">
      <c r="A23" s="10" t="n">
        <v>0.12</v>
      </c>
      <c r="B23" s="10"/>
      <c r="C23" s="10"/>
      <c r="D23" s="10"/>
      <c r="E23" s="10"/>
      <c r="F23" s="10"/>
      <c r="G23" s="10" t="n">
        <f aca="false">-0.237/92.09382*1000</f>
        <v>-2.57346258413431</v>
      </c>
      <c r="H23" s="10"/>
      <c r="I23" s="10"/>
      <c r="J23" s="10"/>
      <c r="K23" s="10" t="s">
        <v>42</v>
      </c>
      <c r="L23" s="2" t="s">
        <v>55</v>
      </c>
      <c r="M23" s="2" t="s">
        <v>56</v>
      </c>
    </row>
    <row r="24" customFormat="false" ht="12.8" hidden="false" customHeight="false" outlineLevel="0" collapsed="false">
      <c r="A24" s="10" t="n">
        <v>0.141</v>
      </c>
      <c r="B24" s="10"/>
      <c r="C24" s="10"/>
      <c r="D24" s="10"/>
      <c r="E24" s="10"/>
      <c r="F24" s="10"/>
      <c r="G24" s="10" t="n">
        <f aca="false">-0.288/92.09382*1000</f>
        <v>-3.12724567185941</v>
      </c>
      <c r="H24" s="10"/>
      <c r="I24" s="10"/>
      <c r="J24" s="10"/>
      <c r="K24" s="10" t="s">
        <v>42</v>
      </c>
      <c r="L24" s="2" t="s">
        <v>55</v>
      </c>
      <c r="M24" s="2" t="s">
        <v>56</v>
      </c>
    </row>
    <row r="25" customFormat="false" ht="12.8" hidden="false" customHeight="false" outlineLevel="0" collapsed="false">
      <c r="A25" s="10" t="n">
        <v>0.19</v>
      </c>
      <c r="B25" s="10"/>
      <c r="C25" s="10"/>
      <c r="D25" s="10"/>
      <c r="E25" s="10"/>
      <c r="F25" s="10"/>
      <c r="G25" s="10" t="n">
        <f aca="false">-0.39/92.09382*1000</f>
        <v>-4.23481184730962</v>
      </c>
      <c r="H25" s="10"/>
      <c r="I25" s="10"/>
      <c r="J25" s="10"/>
      <c r="K25" s="10" t="s">
        <v>42</v>
      </c>
      <c r="L25" s="2" t="s">
        <v>55</v>
      </c>
      <c r="M25" s="2" t="s">
        <v>56</v>
      </c>
    </row>
    <row r="26" customFormat="false" ht="12.8" hidden="false" customHeight="false" outlineLevel="0" collapsed="false">
      <c r="A26" s="10" t="n">
        <v>0.21</v>
      </c>
      <c r="B26" s="10"/>
      <c r="C26" s="10"/>
      <c r="D26" s="10"/>
      <c r="E26" s="10"/>
      <c r="F26" s="10"/>
      <c r="G26" s="10" t="n">
        <f aca="false">-0.41/92.09382*1000</f>
        <v>-4.45198168563319</v>
      </c>
      <c r="H26" s="10"/>
      <c r="I26" s="10"/>
      <c r="J26" s="10"/>
      <c r="K26" s="10" t="s">
        <v>42</v>
      </c>
      <c r="L26" s="2" t="s">
        <v>55</v>
      </c>
      <c r="M26" s="2" t="s">
        <v>56</v>
      </c>
    </row>
    <row r="27" customFormat="false" ht="13.8" hidden="false" customHeight="false" outlineLevel="0" collapsed="false">
      <c r="A27" s="10" t="n">
        <v>0.05</v>
      </c>
      <c r="B27" s="10"/>
      <c r="C27" s="10"/>
      <c r="D27" s="10"/>
      <c r="E27" s="10"/>
      <c r="F27" s="10"/>
      <c r="G27" s="10"/>
      <c r="H27" s="10" t="n">
        <v>-1.3</v>
      </c>
      <c r="I27" s="10"/>
      <c r="J27" s="10"/>
      <c r="K27" s="10" t="s">
        <v>45</v>
      </c>
      <c r="L27" s="11" t="s">
        <v>57</v>
      </c>
    </row>
    <row r="28" customFormat="false" ht="13.8" hidden="false" customHeight="false" outlineLevel="0" collapsed="false">
      <c r="A28" s="10" t="n">
        <v>0.2</v>
      </c>
      <c r="B28" s="10"/>
      <c r="C28" s="10"/>
      <c r="D28" s="10"/>
      <c r="E28" s="10"/>
      <c r="F28" s="10"/>
      <c r="G28" s="10"/>
      <c r="H28" s="10" t="n">
        <v>-4.6</v>
      </c>
      <c r="I28" s="10"/>
      <c r="J28" s="10"/>
      <c r="K28" s="10" t="s">
        <v>45</v>
      </c>
      <c r="L28" s="11" t="s">
        <v>57</v>
      </c>
    </row>
    <row r="29" customFormat="false" ht="13.8" hidden="false" customHeight="false" outlineLevel="0" collapsed="false">
      <c r="A29" s="10" t="n">
        <v>0.3</v>
      </c>
      <c r="B29" s="10"/>
      <c r="C29" s="10"/>
      <c r="D29" s="10"/>
      <c r="E29" s="10"/>
      <c r="F29" s="10"/>
      <c r="G29" s="10"/>
      <c r="H29" s="10" t="n">
        <v>-5.8</v>
      </c>
      <c r="I29" s="10"/>
      <c r="J29" s="10"/>
      <c r="K29" s="10" t="s">
        <v>45</v>
      </c>
      <c r="L29" s="11" t="s">
        <v>57</v>
      </c>
    </row>
    <row r="30" customFormat="false" ht="13.8" hidden="false" customHeight="false" outlineLevel="0" collapsed="false">
      <c r="A30" s="10" t="n">
        <v>0.5</v>
      </c>
      <c r="B30" s="10"/>
      <c r="C30" s="10"/>
      <c r="D30" s="10"/>
      <c r="E30" s="10"/>
      <c r="F30" s="10"/>
      <c r="G30" s="10"/>
      <c r="H30" s="10" t="n">
        <v>-7.3</v>
      </c>
      <c r="I30" s="10"/>
      <c r="J30" s="10"/>
      <c r="K30" s="10" t="s">
        <v>45</v>
      </c>
      <c r="L30" s="11" t="s">
        <v>57</v>
      </c>
    </row>
    <row r="31" customFormat="false" ht="13.8" hidden="false" customHeight="false" outlineLevel="0" collapsed="false">
      <c r="A31" s="10" t="n">
        <v>0.58</v>
      </c>
      <c r="B31" s="10"/>
      <c r="C31" s="10"/>
      <c r="D31" s="10"/>
      <c r="E31" s="10"/>
      <c r="F31" s="10"/>
      <c r="G31" s="10"/>
      <c r="H31" s="10" t="n">
        <v>-10.2</v>
      </c>
      <c r="I31" s="10"/>
      <c r="J31" s="10"/>
      <c r="K31" s="10" t="s">
        <v>45</v>
      </c>
      <c r="L31" s="11" t="s">
        <v>57</v>
      </c>
    </row>
    <row r="32" customFormat="false" ht="12.8" hidden="false" customHeight="false" outlineLevel="0" collapsed="false">
      <c r="A32" s="10" t="n">
        <v>0.25</v>
      </c>
      <c r="B32" s="10" t="n">
        <v>-4.79</v>
      </c>
      <c r="C32" s="10"/>
      <c r="D32" s="10"/>
      <c r="E32" s="10"/>
      <c r="F32" s="10"/>
      <c r="G32" s="10"/>
      <c r="H32" s="10"/>
      <c r="I32" s="10"/>
      <c r="J32" s="10"/>
      <c r="K32" s="10" t="s">
        <v>58</v>
      </c>
      <c r="L32" s="2" t="s">
        <v>59</v>
      </c>
      <c r="M32" s="2" t="s">
        <v>60</v>
      </c>
    </row>
    <row r="33" customFormat="false" ht="12.8" hidden="false" customHeight="false" outlineLevel="0" collapsed="false">
      <c r="A33" s="10" t="n">
        <v>0.15</v>
      </c>
      <c r="B33" s="10"/>
      <c r="C33" s="10"/>
      <c r="D33" s="10"/>
      <c r="E33" s="10"/>
      <c r="F33" s="10"/>
      <c r="G33" s="10"/>
      <c r="H33" s="10"/>
      <c r="I33" s="10" t="n">
        <v>-0.85</v>
      </c>
      <c r="J33" s="10"/>
      <c r="K33" s="10" t="s">
        <v>58</v>
      </c>
      <c r="L33" s="2" t="s">
        <v>59</v>
      </c>
      <c r="M33" s="2" t="s">
        <v>60</v>
      </c>
    </row>
    <row r="34" customFormat="false" ht="12.8" hidden="false" customHeight="false" outlineLevel="0" collapsed="false">
      <c r="A34" s="10" t="n">
        <v>0.68</v>
      </c>
      <c r="B34" s="10" t="n">
        <v>-6.49</v>
      </c>
      <c r="C34" s="10"/>
      <c r="D34" s="10"/>
      <c r="E34" s="10"/>
      <c r="F34" s="10"/>
      <c r="G34" s="10"/>
      <c r="H34" s="10"/>
      <c r="I34" s="10"/>
      <c r="J34" s="10"/>
      <c r="K34" s="10" t="s">
        <v>42</v>
      </c>
      <c r="L34" s="2" t="s">
        <v>61</v>
      </c>
    </row>
    <row r="35" customFormat="false" ht="12.8" hidden="false" customHeight="false" outlineLevel="0" collapsed="false">
      <c r="A35" s="10" t="n">
        <v>0.72</v>
      </c>
      <c r="B35" s="10"/>
      <c r="C35" s="10"/>
      <c r="D35" s="10"/>
      <c r="E35" s="10" t="n">
        <v>-4.81</v>
      </c>
      <c r="F35" s="10"/>
      <c r="G35" s="10"/>
      <c r="H35" s="10"/>
      <c r="I35" s="10"/>
      <c r="J35" s="10"/>
      <c r="K35" s="10" t="s">
        <v>42</v>
      </c>
      <c r="L35" s="2" t="s">
        <v>61</v>
      </c>
    </row>
    <row r="36" customFormat="false" ht="12.8" hidden="false" customHeight="false" outlineLevel="0" collapsed="false">
      <c r="A36" s="10" t="n">
        <v>0.46</v>
      </c>
      <c r="B36" s="10"/>
      <c r="C36" s="10"/>
      <c r="D36" s="10"/>
      <c r="E36" s="10"/>
      <c r="F36" s="10"/>
      <c r="G36" s="10" t="n">
        <v>-3.95</v>
      </c>
      <c r="H36" s="10"/>
      <c r="I36" s="10"/>
      <c r="J36" s="10"/>
      <c r="K36" s="10" t="s">
        <v>42</v>
      </c>
      <c r="L36" s="2" t="s">
        <v>61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J3"/>
  <sheetViews>
    <sheetView showFormulas="false" showGridLines="true" showRowColHeaders="true" showZeros="true" rightToLeft="false" tabSelected="false" showOutlineSymbols="true" defaultGridColor="true" view="normal" topLeftCell="AG1" colorId="64" zoomScale="100" zoomScaleNormal="100" zoomScalePageLayoutView="100" workbookViewId="0">
      <selection pane="topLeft" activeCell="AI17" activeCellId="0" sqref="AI17"/>
    </sheetView>
  </sheetViews>
  <sheetFormatPr defaultColWidth="11.5703125" defaultRowHeight="12.8" zeroHeight="false" outlineLevelRow="0" outlineLevelCol="0"/>
  <sheetData>
    <row r="1" s="8" customFormat="true" ht="12.8" hidden="false" customHeight="false" outlineLevel="0" collapsed="false">
      <c r="A1" s="8" t="s">
        <v>62</v>
      </c>
      <c r="B1" s="8" t="s">
        <v>63</v>
      </c>
      <c r="C1" s="8" t="s">
        <v>64</v>
      </c>
      <c r="D1" s="8" t="s">
        <v>65</v>
      </c>
      <c r="E1" s="8" t="s">
        <v>66</v>
      </c>
      <c r="F1" s="8" t="s">
        <v>67</v>
      </c>
      <c r="G1" s="8" t="s">
        <v>68</v>
      </c>
      <c r="H1" s="8" t="s">
        <v>69</v>
      </c>
      <c r="I1" s="8" t="s">
        <v>70</v>
      </c>
      <c r="J1" s="8" t="s">
        <v>71</v>
      </c>
      <c r="K1" s="8" t="s">
        <v>72</v>
      </c>
      <c r="L1" s="8" t="s">
        <v>73</v>
      </c>
      <c r="M1" s="8" t="s">
        <v>74</v>
      </c>
      <c r="N1" s="8" t="s">
        <v>75</v>
      </c>
      <c r="O1" s="8" t="s">
        <v>76</v>
      </c>
      <c r="P1" s="8" t="s">
        <v>77</v>
      </c>
      <c r="Q1" s="8" t="s">
        <v>78</v>
      </c>
      <c r="R1" s="8" t="s">
        <v>79</v>
      </c>
      <c r="S1" s="8" t="s">
        <v>80</v>
      </c>
      <c r="T1" s="8" t="s">
        <v>81</v>
      </c>
      <c r="U1" s="8" t="s">
        <v>82</v>
      </c>
      <c r="V1" s="8" t="s">
        <v>83</v>
      </c>
      <c r="W1" s="8" t="s">
        <v>84</v>
      </c>
      <c r="X1" s="8" t="s">
        <v>85</v>
      </c>
      <c r="Y1" s="8" t="s">
        <v>86</v>
      </c>
      <c r="Z1" s="8" t="s">
        <v>87</v>
      </c>
      <c r="AA1" s="8" t="s">
        <v>88</v>
      </c>
      <c r="AB1" s="8" t="s">
        <v>89</v>
      </c>
      <c r="AC1" s="8" t="s">
        <v>90</v>
      </c>
      <c r="AD1" s="8" t="s">
        <v>91</v>
      </c>
      <c r="AE1" s="8" t="s">
        <v>92</v>
      </c>
      <c r="AF1" s="8" t="s">
        <v>93</v>
      </c>
      <c r="AG1" s="8" t="s">
        <v>94</v>
      </c>
      <c r="AH1" s="8" t="s">
        <v>95</v>
      </c>
      <c r="AI1" s="8" t="s">
        <v>4</v>
      </c>
      <c r="AJ1" s="8" t="s">
        <v>33</v>
      </c>
    </row>
    <row r="2" customFormat="false" ht="13.8" hidden="false" customHeight="false" outlineLevel="0" collapsed="false">
      <c r="A2" s="2" t="n">
        <v>-3.42</v>
      </c>
      <c r="B2" s="2" t="n">
        <v>3.42</v>
      </c>
      <c r="C2" s="2" t="n">
        <v>3.41</v>
      </c>
      <c r="D2" s="2" t="n">
        <v>3.41</v>
      </c>
      <c r="E2" s="13" t="n">
        <v>3.41</v>
      </c>
      <c r="F2" s="2" t="n">
        <v>3.41</v>
      </c>
      <c r="G2" s="13" t="n">
        <v>3.41</v>
      </c>
      <c r="H2" s="2" t="n">
        <v>3.41</v>
      </c>
      <c r="I2" s="2" t="n">
        <v>3.41</v>
      </c>
      <c r="J2" s="13" t="n">
        <v>4.07</v>
      </c>
      <c r="K2" s="13" t="n">
        <v>4.07</v>
      </c>
      <c r="L2" s="13" t="n">
        <v>4.07</v>
      </c>
      <c r="M2" s="2" t="n">
        <v>3.41</v>
      </c>
      <c r="N2" s="13" t="n">
        <v>7.15</v>
      </c>
      <c r="O2" s="13" t="n">
        <v>7.15</v>
      </c>
      <c r="P2" s="2" t="n">
        <v>10.86</v>
      </c>
      <c r="Q2" s="2" t="n">
        <v>6.14</v>
      </c>
      <c r="R2" s="2" t="n">
        <v>4.45</v>
      </c>
      <c r="S2" s="2" t="n">
        <v>0.66</v>
      </c>
      <c r="T2" s="14" t="n">
        <v>0.33</v>
      </c>
      <c r="U2" s="14" t="n">
        <v>0.33</v>
      </c>
      <c r="V2" s="2" t="n">
        <v>2.84</v>
      </c>
      <c r="W2" s="2" t="n">
        <v>0.86</v>
      </c>
      <c r="X2" s="2" t="n">
        <v>0.67</v>
      </c>
      <c r="Y2" s="15" t="n">
        <v>0.35</v>
      </c>
      <c r="Z2" s="15" t="n">
        <v>0.35</v>
      </c>
      <c r="AA2" s="15" t="n">
        <v>0.35</v>
      </c>
      <c r="AB2" s="2" t="n">
        <v>0.12</v>
      </c>
      <c r="AC2" s="2" t="n">
        <v>0.12</v>
      </c>
      <c r="AD2" s="2" t="n">
        <v>0.12</v>
      </c>
      <c r="AE2" s="2" t="n">
        <v>0.01</v>
      </c>
      <c r="AF2" s="2" t="n">
        <v>0</v>
      </c>
      <c r="AG2" s="2" t="n">
        <v>0.09</v>
      </c>
      <c r="AH2" s="2" t="n">
        <v>0</v>
      </c>
      <c r="AI2" s="2" t="n">
        <v>0.2</v>
      </c>
      <c r="AJ2" s="11" t="s">
        <v>96</v>
      </c>
    </row>
    <row r="3" customFormat="false" ht="12.8" hidden="false" customHeight="false" outlineLevel="0" collapsed="false">
      <c r="A3" s="2" t="n">
        <v>-1.96</v>
      </c>
      <c r="B3" s="2" t="n">
        <v>1.96</v>
      </c>
      <c r="C3" s="2" t="n">
        <v>1.96</v>
      </c>
      <c r="D3" s="2" t="n">
        <v>1.96</v>
      </c>
      <c r="E3" s="2" t="n">
        <v>1.96</v>
      </c>
      <c r="F3" s="2" t="n">
        <v>1.96</v>
      </c>
      <c r="G3" s="2" t="n">
        <v>1.96</v>
      </c>
      <c r="H3" s="2" t="n">
        <v>1.96</v>
      </c>
      <c r="I3" s="2" t="n">
        <v>1.96</v>
      </c>
      <c r="J3" s="2" t="n">
        <v>2.53</v>
      </c>
      <c r="K3" s="2" t="n">
        <v>2.53</v>
      </c>
      <c r="L3" s="2" t="n">
        <v>2.53</v>
      </c>
      <c r="M3" s="2" t="n">
        <v>1.96</v>
      </c>
      <c r="N3" s="2" t="n">
        <v>4.32</v>
      </c>
      <c r="O3" s="2" t="n">
        <v>4.32</v>
      </c>
      <c r="P3" s="2" t="n">
        <v>6.28</v>
      </c>
      <c r="Q3" s="2" t="n">
        <v>3.58</v>
      </c>
      <c r="R3" s="2" t="n">
        <v>2.77</v>
      </c>
      <c r="S3" s="2" t="n">
        <v>0.57</v>
      </c>
      <c r="T3" s="2" t="n">
        <v>0.4</v>
      </c>
      <c r="U3" s="2" t="n">
        <v>0.4</v>
      </c>
      <c r="V3" s="2" t="n">
        <v>1.2</v>
      </c>
      <c r="W3" s="2" t="n">
        <v>0.43</v>
      </c>
      <c r="X3" s="2" t="n">
        <v>0.33</v>
      </c>
      <c r="Y3" s="2" t="n">
        <v>0.33</v>
      </c>
      <c r="Z3" s="2" t="n">
        <v>0.18</v>
      </c>
      <c r="AA3" s="2" t="n">
        <v>0.18</v>
      </c>
      <c r="AC3" s="2" t="n">
        <v>0.06</v>
      </c>
      <c r="AD3" s="2" t="n">
        <v>0.06</v>
      </c>
      <c r="AE3" s="2" t="n">
        <v>0.01</v>
      </c>
      <c r="AG3" s="2" t="n">
        <v>0.05</v>
      </c>
      <c r="AJ3" s="2" t="s">
        <v>97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O8"/>
  <sheetViews>
    <sheetView showFormulas="false" showGridLines="true" showRowColHeaders="true" showZeros="true" rightToLeft="false" tabSelected="false" showOutlineSymbols="true" defaultGridColor="true" view="normal" topLeftCell="AJ1" colorId="64" zoomScale="100" zoomScaleNormal="100" zoomScalePageLayoutView="100" workbookViewId="0">
      <selection pane="topLeft" activeCell="A8" activeCellId="0" sqref="A8"/>
    </sheetView>
  </sheetViews>
  <sheetFormatPr defaultColWidth="11.5703125" defaultRowHeight="12.8" zeroHeight="false" outlineLevelRow="0" outlineLevelCol="0"/>
  <sheetData>
    <row r="1" s="8" customFormat="true" ht="12.8" hidden="false" customHeight="false" outlineLevel="0" collapsed="false">
      <c r="A1" s="8" t="s">
        <v>5</v>
      </c>
      <c r="B1" s="8" t="s">
        <v>98</v>
      </c>
      <c r="C1" s="8" t="s">
        <v>99</v>
      </c>
      <c r="D1" s="16" t="s">
        <v>100</v>
      </c>
      <c r="E1" s="17" t="s">
        <v>101</v>
      </c>
      <c r="F1" s="17" t="s">
        <v>102</v>
      </c>
      <c r="G1" s="17" t="s">
        <v>103</v>
      </c>
      <c r="H1" s="17" t="s">
        <v>104</v>
      </c>
      <c r="I1" s="16" t="s">
        <v>90</v>
      </c>
      <c r="J1" s="17" t="s">
        <v>91</v>
      </c>
      <c r="K1" s="18" t="s">
        <v>92</v>
      </c>
      <c r="L1" s="16" t="s">
        <v>105</v>
      </c>
      <c r="M1" s="17" t="s">
        <v>106</v>
      </c>
      <c r="N1" s="17" t="s">
        <v>107</v>
      </c>
      <c r="O1" s="17" t="s">
        <v>108</v>
      </c>
      <c r="P1" s="17" t="s">
        <v>109</v>
      </c>
      <c r="Q1" s="17" t="s">
        <v>110</v>
      </c>
      <c r="R1" s="17" t="s">
        <v>95</v>
      </c>
      <c r="S1" s="18" t="s">
        <v>93</v>
      </c>
      <c r="T1" s="18" t="s">
        <v>94</v>
      </c>
      <c r="U1" s="16" t="s">
        <v>88</v>
      </c>
      <c r="V1" s="17" t="s">
        <v>87</v>
      </c>
      <c r="W1" s="17" t="s">
        <v>86</v>
      </c>
      <c r="X1" s="17" t="s">
        <v>85</v>
      </c>
      <c r="Y1" s="18" t="s">
        <v>111</v>
      </c>
      <c r="Z1" s="16" t="s">
        <v>79</v>
      </c>
      <c r="AA1" s="17" t="s">
        <v>71</v>
      </c>
      <c r="AB1" s="17" t="s">
        <v>112</v>
      </c>
      <c r="AC1" s="17" t="s">
        <v>78</v>
      </c>
      <c r="AD1" s="17" t="s">
        <v>72</v>
      </c>
      <c r="AE1" s="17" t="s">
        <v>73</v>
      </c>
      <c r="AF1" s="17" t="s">
        <v>80</v>
      </c>
      <c r="AG1" s="17" t="s">
        <v>81</v>
      </c>
      <c r="AH1" s="17" t="s">
        <v>82</v>
      </c>
      <c r="AI1" s="17" t="s">
        <v>75</v>
      </c>
      <c r="AJ1" s="17" t="s">
        <v>76</v>
      </c>
      <c r="AK1" s="18" t="s">
        <v>77</v>
      </c>
      <c r="AL1" s="8" t="s">
        <v>113</v>
      </c>
      <c r="AM1" s="8" t="s">
        <v>83</v>
      </c>
      <c r="AN1" s="8" t="s">
        <v>114</v>
      </c>
      <c r="AO1" s="8" t="s">
        <v>33</v>
      </c>
    </row>
    <row r="2" customFormat="false" ht="13.8" hidden="false" customHeight="false" outlineLevel="0" collapsed="false">
      <c r="A2" s="19" t="n">
        <f aca="false">-100/100*6.14</f>
        <v>-6.14</v>
      </c>
      <c r="B2" s="19" t="n">
        <f aca="false">90/100*6.14</f>
        <v>5.526</v>
      </c>
      <c r="C2" s="19" t="n">
        <f aca="false">12/100*6.14</f>
        <v>0.7368</v>
      </c>
      <c r="D2" s="20" t="n">
        <f aca="false">10/100*6.14</f>
        <v>0.614</v>
      </c>
      <c r="E2" s="21" t="n">
        <f aca="false">19/100*6.14</f>
        <v>1.1666</v>
      </c>
      <c r="F2" s="21" t="n">
        <f aca="false">19/100*6.14</f>
        <v>1.1666</v>
      </c>
      <c r="G2" s="19" t="n">
        <f aca="false">99/100*6.14</f>
        <v>6.0786</v>
      </c>
      <c r="H2" s="19" t="n">
        <f aca="false">99/100*6.14</f>
        <v>6.0786</v>
      </c>
      <c r="I2" s="22" t="n">
        <f aca="false">8/100*6.14</f>
        <v>0.4912</v>
      </c>
      <c r="J2" s="19" t="n">
        <f aca="false">8/100*6.14</f>
        <v>0.4912</v>
      </c>
      <c r="K2" s="23" t="n">
        <f aca="false">9/100*6.14</f>
        <v>0.5526</v>
      </c>
      <c r="L2" s="22" t="n">
        <f aca="false">78/100*6.14</f>
        <v>4.7892</v>
      </c>
      <c r="M2" s="19" t="n">
        <f aca="false">12/100*6.14</f>
        <v>0.7368</v>
      </c>
      <c r="N2" s="19" t="n">
        <f aca="false">12/100*6.14</f>
        <v>0.7368</v>
      </c>
      <c r="O2" s="21" t="n">
        <f aca="false">10/100*6.14</f>
        <v>0.614</v>
      </c>
      <c r="P2" s="19" t="n">
        <f aca="false">7/100*6.14</f>
        <v>0.4298</v>
      </c>
      <c r="Q2" s="19" t="n">
        <f aca="false">2/100*6.14</f>
        <v>0.1228</v>
      </c>
      <c r="R2" s="19" t="n">
        <f aca="false">2/100*6.14</f>
        <v>0.1228</v>
      </c>
      <c r="S2" s="23" t="n">
        <f aca="false">2/100*6.14</f>
        <v>0.1228</v>
      </c>
      <c r="T2" s="23"/>
      <c r="U2" s="22" t="n">
        <f aca="false">83/100*6.14</f>
        <v>5.0962</v>
      </c>
      <c r="V2" s="19" t="n">
        <f aca="false">83/100*6.14</f>
        <v>5.0962</v>
      </c>
      <c r="W2" s="19" t="n">
        <f aca="false">71/100*6.14</f>
        <v>4.3594</v>
      </c>
      <c r="X2" s="19" t="n">
        <f aca="false">71/100*6.14</f>
        <v>4.3594</v>
      </c>
      <c r="Y2" s="23" t="n">
        <f aca="false">63/100*6.14</f>
        <v>3.8682</v>
      </c>
      <c r="Z2" s="22" t="n">
        <f aca="false">109/100*6.14</f>
        <v>6.6926</v>
      </c>
      <c r="AA2" s="19" t="n">
        <f aca="false">89/100*6.14</f>
        <v>5.4646</v>
      </c>
      <c r="AB2" s="19" t="n">
        <f aca="false">72/100*6.14</f>
        <v>4.4208</v>
      </c>
      <c r="AC2" s="19" t="n">
        <f aca="false">2/100*6.14</f>
        <v>0.1228</v>
      </c>
      <c r="AD2" s="19" t="n">
        <f aca="false">89/100*6.14</f>
        <v>5.4646</v>
      </c>
      <c r="AE2" s="19" t="n">
        <f aca="false">89/100*6.14</f>
        <v>5.4646</v>
      </c>
      <c r="AF2" s="19" t="n">
        <f aca="false">89/100*6.14</f>
        <v>5.4646</v>
      </c>
      <c r="AG2" s="19" t="n">
        <f aca="false">76/100*6.14</f>
        <v>4.6664</v>
      </c>
      <c r="AH2" s="19" t="n">
        <f aca="false">76/100*6.14</f>
        <v>4.6664</v>
      </c>
      <c r="AI2" s="19" t="n">
        <f aca="false">76/100*6.14</f>
        <v>4.6664</v>
      </c>
      <c r="AJ2" s="19" t="n">
        <f aca="false">76/100*6.14</f>
        <v>4.6664</v>
      </c>
      <c r="AK2" s="23" t="n">
        <f aca="false">33/100*6.14</f>
        <v>2.0262</v>
      </c>
      <c r="AL2" s="19" t="n">
        <f aca="false">44/100*6.14</f>
        <v>2.7016</v>
      </c>
      <c r="AO2" s="11" t="s">
        <v>44</v>
      </c>
    </row>
    <row r="3" customFormat="false" ht="13.8" hidden="false" customHeight="false" outlineLevel="0" collapsed="false">
      <c r="A3" s="2" t="n">
        <v>-5.7</v>
      </c>
      <c r="D3" s="2" t="n">
        <f aca="false">99/100*5.7</f>
        <v>5.643</v>
      </c>
      <c r="E3" s="2" t="n">
        <f aca="false">99/100*5.7</f>
        <v>5.643</v>
      </c>
      <c r="F3" s="2" t="n">
        <f aca="false">99/100*5.7</f>
        <v>5.643</v>
      </c>
      <c r="G3" s="2" t="n">
        <f aca="false">89/100*5.7</f>
        <v>5.073</v>
      </c>
      <c r="H3" s="2" t="n">
        <f aca="false">89/100*5.7</f>
        <v>5.073</v>
      </c>
      <c r="I3" s="2" t="n">
        <v>0</v>
      </c>
      <c r="J3" s="2" t="n">
        <v>0</v>
      </c>
      <c r="K3" s="2" t="n">
        <v>0</v>
      </c>
      <c r="O3" s="2" t="n">
        <f aca="false">11/100*5.7</f>
        <v>0.627</v>
      </c>
      <c r="U3" s="2" t="n">
        <f aca="false">86/100*5.7</f>
        <v>4.902</v>
      </c>
      <c r="V3" s="2" t="n">
        <f aca="false">86/100*5.7</f>
        <v>4.902</v>
      </c>
      <c r="W3" s="2" t="n">
        <f aca="false">68/100*5.7</f>
        <v>3.876</v>
      </c>
      <c r="X3" s="2" t="n">
        <f aca="false">68/100*5.7</f>
        <v>3.876</v>
      </c>
      <c r="Y3" s="2" t="n">
        <f aca="false">71/100*5.7</f>
        <v>4.047</v>
      </c>
      <c r="Z3" s="2" t="n">
        <f aca="false">90/100*5.7</f>
        <v>5.13</v>
      </c>
      <c r="AB3" s="2" t="n">
        <f aca="false">57/100*5.7</f>
        <v>3.249</v>
      </c>
      <c r="AD3" s="2" t="n">
        <f aca="false">68/100*5.7</f>
        <v>3.876</v>
      </c>
      <c r="AE3" s="2" t="n">
        <f aca="false">68/100*5.7</f>
        <v>3.876</v>
      </c>
      <c r="AI3" s="2" t="n">
        <f aca="false">55/100*5.7</f>
        <v>3.135</v>
      </c>
      <c r="AK3" s="2" t="n">
        <f aca="false">37/100*5.7</f>
        <v>2.109</v>
      </c>
      <c r="AL3" s="2" t="n">
        <f aca="false">18/100*5.7</f>
        <v>1.026</v>
      </c>
      <c r="AM3" s="2" t="n">
        <f aca="false">148/100*5.7</f>
        <v>8.436</v>
      </c>
      <c r="AN3" s="2" t="n">
        <f aca="false">10/100*5.7</f>
        <v>0.57</v>
      </c>
      <c r="AO3" s="11" t="s">
        <v>115</v>
      </c>
    </row>
    <row r="4" customFormat="false" ht="13.8" hidden="false" customHeight="false" outlineLevel="0" collapsed="false">
      <c r="A4" s="2" t="n">
        <v>-5.2</v>
      </c>
      <c r="D4" s="2" t="n">
        <f aca="false">103/100*5.2</f>
        <v>5.356</v>
      </c>
      <c r="E4" s="2" t="n">
        <f aca="false">103/100*5.2</f>
        <v>5.356</v>
      </c>
      <c r="F4" s="2" t="n">
        <f aca="false">103/100*5.2</f>
        <v>5.356</v>
      </c>
      <c r="G4" s="2" t="n">
        <f aca="false">94/100*5.2</f>
        <v>4.888</v>
      </c>
      <c r="H4" s="2" t="n">
        <f aca="false">94/100*5.2</f>
        <v>4.888</v>
      </c>
      <c r="I4" s="2" t="n">
        <v>0.208</v>
      </c>
      <c r="J4" s="2" t="n">
        <v>0.208</v>
      </c>
      <c r="K4" s="2" t="n">
        <f aca="false">-4/100*5.2</f>
        <v>-0.208</v>
      </c>
      <c r="O4" s="2" t="n">
        <f aca="false">9/100*5.2</f>
        <v>0.468</v>
      </c>
      <c r="U4" s="2" t="n">
        <f aca="false">83/100*5.2</f>
        <v>4.316</v>
      </c>
      <c r="V4" s="2" t="n">
        <f aca="false">83/100*5.2</f>
        <v>4.316</v>
      </c>
      <c r="W4" s="2" t="n">
        <f aca="false">68/100*5.2</f>
        <v>3.536</v>
      </c>
      <c r="X4" s="2" t="n">
        <f aca="false">68/100*5.2</f>
        <v>3.536</v>
      </c>
      <c r="Y4" s="2" t="n">
        <f aca="false">76/100*5.2</f>
        <v>3.952</v>
      </c>
      <c r="Z4" s="2" t="n">
        <f aca="false">99/100*5.2</f>
        <v>5.148</v>
      </c>
      <c r="AB4" s="2" t="n">
        <f aca="false">61/100*5.2</f>
        <v>3.172</v>
      </c>
      <c r="AD4" s="2" t="n">
        <f aca="false">78/100*5.2</f>
        <v>4.056</v>
      </c>
      <c r="AE4" s="2" t="n">
        <f aca="false">78/100*5.2</f>
        <v>4.056</v>
      </c>
      <c r="AI4" s="2" t="n">
        <f aca="false">66/100*5.2</f>
        <v>3.432</v>
      </c>
      <c r="AK4" s="2" t="n">
        <f aca="false">48/100*5.2</f>
        <v>2.496</v>
      </c>
      <c r="AL4" s="2" t="n">
        <f aca="false">16/100*5.2</f>
        <v>0.832</v>
      </c>
      <c r="AM4" s="2" t="n">
        <f aca="false">216/100*5.2</f>
        <v>11.232</v>
      </c>
      <c r="AN4" s="2" t="n">
        <f aca="false">18/100*5.2</f>
        <v>0.936</v>
      </c>
      <c r="AO4" s="11" t="s">
        <v>116</v>
      </c>
    </row>
    <row r="5" customFormat="false" ht="13.8" hidden="false" customHeight="false" outlineLevel="0" collapsed="false">
      <c r="A5" s="2" t="n">
        <v>-6.5</v>
      </c>
      <c r="D5" s="2" t="n">
        <f aca="false">117/100*6.5</f>
        <v>7.605</v>
      </c>
      <c r="E5" s="2" t="n">
        <f aca="false">117/100*6.5</f>
        <v>7.605</v>
      </c>
      <c r="F5" s="2" t="n">
        <f aca="false">117/100*6.5</f>
        <v>7.605</v>
      </c>
      <c r="G5" s="2" t="n">
        <f aca="false">107/100*6.5</f>
        <v>6.955</v>
      </c>
      <c r="H5" s="2" t="n">
        <f aca="false">107/100*6.5</f>
        <v>6.955</v>
      </c>
      <c r="I5" s="2" t="n">
        <v>1.105</v>
      </c>
      <c r="J5" s="2" t="n">
        <v>1.105</v>
      </c>
      <c r="K5" s="2" t="n">
        <f aca="false">-17/100*6.5</f>
        <v>-1.105</v>
      </c>
      <c r="O5" s="2" t="n">
        <f aca="false">10/100*6.5</f>
        <v>0.65</v>
      </c>
      <c r="U5" s="2" t="n">
        <f aca="false">72/100*6.5</f>
        <v>4.68</v>
      </c>
      <c r="V5" s="2" t="n">
        <f aca="false">72/100*6.5</f>
        <v>4.68</v>
      </c>
      <c r="W5" s="2" t="n">
        <f aca="false">57/100*6.5</f>
        <v>3.705</v>
      </c>
      <c r="X5" s="2" t="n">
        <f aca="false">57/100*6.5</f>
        <v>3.705</v>
      </c>
      <c r="Y5" s="2" t="n">
        <f aca="false">67/100*6.5</f>
        <v>4.355</v>
      </c>
      <c r="Z5" s="2" t="n">
        <f aca="false">105/100*6.5</f>
        <v>6.825</v>
      </c>
      <c r="AB5" s="2" t="n">
        <f aca="false">82/100*6.5</f>
        <v>5.33</v>
      </c>
      <c r="AD5" s="2" t="n">
        <f aca="false">86/100*6.5</f>
        <v>5.59</v>
      </c>
      <c r="AE5" s="2" t="n">
        <f aca="false">86/100*6.5</f>
        <v>5.59</v>
      </c>
      <c r="AI5" s="2" t="n">
        <f aca="false">74/100*6.5</f>
        <v>4.81</v>
      </c>
      <c r="AK5" s="2" t="n">
        <f aca="false">34/100*6.5</f>
        <v>2.21</v>
      </c>
      <c r="AL5" s="2" t="n">
        <f aca="false">40/100*6.5</f>
        <v>2.6</v>
      </c>
      <c r="AM5" s="2" t="n">
        <f aca="false">264/100*6.5</f>
        <v>17.16</v>
      </c>
      <c r="AN5" s="2" t="n">
        <f aca="false">16/100*6.5</f>
        <v>1.04</v>
      </c>
      <c r="AO5" s="11" t="s">
        <v>117</v>
      </c>
    </row>
    <row r="6" customFormat="false" ht="13.8" hidden="false" customHeight="false" outlineLevel="0" collapsed="false">
      <c r="A6" s="2" t="n">
        <v>-2.21</v>
      </c>
      <c r="D6" s="2" t="n">
        <v>2.21</v>
      </c>
      <c r="E6" s="2" t="n">
        <v>2.2</v>
      </c>
      <c r="F6" s="2" t="n">
        <v>2.2</v>
      </c>
      <c r="G6" s="2" t="n">
        <v>2.14</v>
      </c>
      <c r="H6" s="2" t="n">
        <v>2.14</v>
      </c>
      <c r="O6" s="2" t="n">
        <v>0.06</v>
      </c>
      <c r="R6" s="2" t="n">
        <v>0.01</v>
      </c>
      <c r="S6" s="2" t="n">
        <v>0.01</v>
      </c>
      <c r="U6" s="2" t="n">
        <v>2.13</v>
      </c>
      <c r="V6" s="2" t="n">
        <v>2.13</v>
      </c>
      <c r="W6" s="2" t="n">
        <v>1.96</v>
      </c>
      <c r="X6" s="2" t="n">
        <v>1.96</v>
      </c>
      <c r="Y6" s="2" t="n">
        <v>2.21</v>
      </c>
      <c r="Z6" s="2" t="n">
        <v>3.23</v>
      </c>
      <c r="AB6" s="2" t="n">
        <v>0.73</v>
      </c>
      <c r="AD6" s="2" t="n">
        <v>2.98</v>
      </c>
      <c r="AE6" s="2" t="n">
        <v>2.98</v>
      </c>
      <c r="AF6" s="2" t="n">
        <v>2.98</v>
      </c>
      <c r="AG6" s="2" t="n">
        <v>2.8</v>
      </c>
      <c r="AH6" s="2" t="n">
        <v>2.8</v>
      </c>
      <c r="AI6" s="2" t="n">
        <v>2.8</v>
      </c>
      <c r="AJ6" s="2" t="n">
        <v>2.8</v>
      </c>
      <c r="AK6" s="2" t="n">
        <v>2.8</v>
      </c>
      <c r="AM6" s="2" t="n">
        <v>3.48</v>
      </c>
      <c r="AN6" s="2" t="n">
        <v>0.35</v>
      </c>
      <c r="AO6" s="11" t="s">
        <v>118</v>
      </c>
    </row>
    <row r="7" customFormat="false" ht="13.8" hidden="false" customHeight="false" outlineLevel="0" collapsed="false">
      <c r="A7" s="2" t="n">
        <v>-6.01</v>
      </c>
      <c r="E7" s="2" t="n">
        <f aca="false">99/100*6.01</f>
        <v>5.9499</v>
      </c>
      <c r="F7" s="2" t="n">
        <f aca="false">99/100*6.01</f>
        <v>5.9499</v>
      </c>
      <c r="G7" s="2" t="n">
        <f aca="false">94/100*6.01</f>
        <v>5.6494</v>
      </c>
      <c r="H7" s="2" t="n">
        <f aca="false">94/100*6.01</f>
        <v>5.6494</v>
      </c>
      <c r="I7" s="2" t="n">
        <v>0</v>
      </c>
      <c r="J7" s="2" t="n">
        <v>0</v>
      </c>
      <c r="K7" s="2" t="n">
        <v>0</v>
      </c>
      <c r="O7" s="2" t="n">
        <f aca="false">6/100*6.01</f>
        <v>0.3606</v>
      </c>
      <c r="R7" s="2" t="n">
        <v>0</v>
      </c>
      <c r="S7" s="2" t="n">
        <v>0</v>
      </c>
      <c r="T7" s="2" t="n">
        <f aca="false">-4/100*6.01</f>
        <v>-0.2404</v>
      </c>
      <c r="U7" s="2" t="n">
        <f aca="false">80/100*6.01</f>
        <v>4.808</v>
      </c>
      <c r="V7" s="2" t="n">
        <f aca="false">80/100*6.01</f>
        <v>4.808</v>
      </c>
      <c r="W7" s="2" t="n">
        <f aca="false">80/100*6.01</f>
        <v>4.808</v>
      </c>
      <c r="X7" s="2" t="n">
        <f aca="false">80/100*6.01</f>
        <v>4.808</v>
      </c>
      <c r="Y7" s="2" t="n">
        <f aca="false">54/100*6.01</f>
        <v>3.2454</v>
      </c>
      <c r="Z7" s="2" t="n">
        <f aca="false">87/100*6.01</f>
        <v>5.2287</v>
      </c>
      <c r="AA7" s="2" t="n">
        <f aca="false">63/100*6.01</f>
        <v>3.7863</v>
      </c>
      <c r="AB7" s="2" t="n">
        <f aca="false">80/100*6.01</f>
        <v>4.808</v>
      </c>
      <c r="AD7" s="2" t="n">
        <f aca="false">63/100*6.01</f>
        <v>3.7863</v>
      </c>
      <c r="AE7" s="2" t="n">
        <f aca="false">63/100*6.01</f>
        <v>3.7863</v>
      </c>
      <c r="AF7" s="2" t="n">
        <f aca="false">63/100*6.01</f>
        <v>3.7863</v>
      </c>
      <c r="AG7" s="2" t="n">
        <f aca="false">50/100*6.01</f>
        <v>3.005</v>
      </c>
      <c r="AH7" s="2" t="n">
        <f aca="false">50/100*6.01</f>
        <v>3.005</v>
      </c>
      <c r="AI7" s="2" t="n">
        <f aca="false">50/100*6.01</f>
        <v>3.005</v>
      </c>
      <c r="AJ7" s="2" t="n">
        <f aca="false">50/100*6.01</f>
        <v>3.005</v>
      </c>
      <c r="AK7" s="2" t="n">
        <v>0</v>
      </c>
      <c r="AL7" s="2" t="n">
        <f aca="false">50/100*6.01</f>
        <v>3.005</v>
      </c>
      <c r="AO7" s="11" t="s">
        <v>119</v>
      </c>
    </row>
    <row r="8" customFormat="false" ht="13.8" hidden="false" customHeight="false" outlineLevel="0" collapsed="false">
      <c r="A8" s="2" t="n">
        <v>-2.01</v>
      </c>
      <c r="E8" s="2" t="n">
        <f aca="false">98/100*2.01</f>
        <v>1.9698</v>
      </c>
      <c r="F8" s="2" t="n">
        <f aca="false">98/100*2.01</f>
        <v>1.9698</v>
      </c>
      <c r="G8" s="2" t="n">
        <f aca="false">98/100*2.01</f>
        <v>1.9698</v>
      </c>
      <c r="H8" s="2" t="n">
        <f aca="false">98/100*2.01</f>
        <v>1.9698</v>
      </c>
      <c r="I8" s="2" t="n">
        <v>0.0201</v>
      </c>
      <c r="J8" s="2" t="n">
        <v>0.0201</v>
      </c>
      <c r="K8" s="2" t="n">
        <v>0.0201</v>
      </c>
      <c r="O8" s="2" t="n">
        <v>0</v>
      </c>
      <c r="R8" s="2" t="n">
        <f aca="false">-2/100*2.01</f>
        <v>-0.0402</v>
      </c>
      <c r="S8" s="2" t="n">
        <f aca="false">-2/100*2.01</f>
        <v>-0.0402</v>
      </c>
      <c r="T8" s="2" t="n">
        <f aca="false">-5/100*2.01</f>
        <v>-0.1005</v>
      </c>
      <c r="U8" s="2" t="n">
        <f aca="false">78/100*2.01</f>
        <v>1.5678</v>
      </c>
      <c r="V8" s="2" t="n">
        <f aca="false">78/100*2.01</f>
        <v>1.5678</v>
      </c>
      <c r="W8" s="2" t="n">
        <f aca="false">78/100*2.01</f>
        <v>1.5678</v>
      </c>
      <c r="X8" s="2" t="n">
        <f aca="false">78/100*2.01</f>
        <v>1.5678</v>
      </c>
      <c r="Y8" s="2" t="n">
        <f aca="false">52/100*2.01</f>
        <v>1.0452</v>
      </c>
      <c r="Z8" s="2" t="n">
        <f aca="false">90/100*2.01</f>
        <v>1.809</v>
      </c>
      <c r="AA8" s="2" t="n">
        <f aca="false">67/100*2.01</f>
        <v>1.3467</v>
      </c>
      <c r="AB8" s="2" t="n">
        <f aca="false">84/100*2.01</f>
        <v>1.6884</v>
      </c>
      <c r="AD8" s="2" t="n">
        <f aca="false">67/100*2.01</f>
        <v>1.3467</v>
      </c>
      <c r="AE8" s="2" t="n">
        <f aca="false">67/100*2.01</f>
        <v>1.3467</v>
      </c>
      <c r="AF8" s="2" t="n">
        <f aca="false">67/100*2.01</f>
        <v>1.3467</v>
      </c>
      <c r="AG8" s="2" t="n">
        <f aca="false">54/100*2.01</f>
        <v>1.0854</v>
      </c>
      <c r="AH8" s="2" t="n">
        <f aca="false">54/100*2.01</f>
        <v>1.0854</v>
      </c>
      <c r="AI8" s="2" t="n">
        <f aca="false">54/100*2.01</f>
        <v>1.0854</v>
      </c>
      <c r="AJ8" s="2" t="n">
        <f aca="false">54/100*2.01</f>
        <v>1.0854</v>
      </c>
      <c r="AK8" s="2" t="n">
        <v>0</v>
      </c>
      <c r="AL8" s="2" t="n">
        <f aca="false">54/100*2.01</f>
        <v>1.0854</v>
      </c>
      <c r="AO8" s="11" t="s">
        <v>120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2"/>
  <sheetViews>
    <sheetView showFormulas="false" showGridLines="true" showRowColHeaders="true" showZeros="true" rightToLeft="false" tabSelected="false" showOutlineSymbols="true" defaultGridColor="true" view="normal" topLeftCell="W1" colorId="64" zoomScale="100" zoomScaleNormal="100" zoomScalePageLayoutView="100" workbookViewId="0">
      <selection pane="topLeft" activeCell="A2" activeCellId="0" sqref="A2"/>
    </sheetView>
  </sheetViews>
  <sheetFormatPr defaultColWidth="11.5703125" defaultRowHeight="12.8" zeroHeight="false" outlineLevelRow="0" outlineLevelCol="0"/>
  <sheetData>
    <row r="1" s="8" customFormat="true" ht="12.8" hidden="false" customHeight="false" outlineLevel="0" collapsed="false">
      <c r="A1" s="8" t="s">
        <v>13</v>
      </c>
      <c r="B1" s="8" t="s">
        <v>121</v>
      </c>
      <c r="C1" s="8" t="s">
        <v>122</v>
      </c>
      <c r="D1" s="8" t="s">
        <v>123</v>
      </c>
      <c r="E1" s="8" t="s">
        <v>91</v>
      </c>
      <c r="F1" s="8" t="s">
        <v>92</v>
      </c>
      <c r="G1" s="8" t="s">
        <v>101</v>
      </c>
      <c r="H1" s="8" t="s">
        <v>102</v>
      </c>
      <c r="I1" s="8" t="s">
        <v>108</v>
      </c>
      <c r="J1" s="8" t="s">
        <v>95</v>
      </c>
      <c r="K1" s="8" t="s">
        <v>93</v>
      </c>
      <c r="L1" s="8" t="s">
        <v>103</v>
      </c>
      <c r="M1" s="8" t="s">
        <v>104</v>
      </c>
      <c r="N1" s="8" t="s">
        <v>88</v>
      </c>
      <c r="O1" s="8" t="s">
        <v>87</v>
      </c>
      <c r="P1" s="8" t="s">
        <v>86</v>
      </c>
      <c r="Q1" s="8" t="s">
        <v>85</v>
      </c>
      <c r="R1" s="8" t="s">
        <v>79</v>
      </c>
      <c r="S1" s="8" t="s">
        <v>112</v>
      </c>
      <c r="T1" s="8" t="s">
        <v>114</v>
      </c>
      <c r="U1" s="8" t="s">
        <v>71</v>
      </c>
      <c r="V1" s="8" t="s">
        <v>72</v>
      </c>
      <c r="W1" s="8" t="s">
        <v>73</v>
      </c>
      <c r="X1" s="8" t="s">
        <v>80</v>
      </c>
      <c r="Y1" s="8" t="s">
        <v>81</v>
      </c>
      <c r="Z1" s="8" t="s">
        <v>82</v>
      </c>
      <c r="AA1" s="8" t="s">
        <v>75</v>
      </c>
      <c r="AB1" s="8" t="s">
        <v>76</v>
      </c>
      <c r="AC1" s="8" t="s">
        <v>77</v>
      </c>
      <c r="AD1" s="8" t="s">
        <v>74</v>
      </c>
      <c r="AE1" s="8" t="s">
        <v>83</v>
      </c>
      <c r="AF1" s="8" t="s">
        <v>33</v>
      </c>
    </row>
    <row r="2" customFormat="false" ht="12.8" hidden="false" customHeight="false" outlineLevel="0" collapsed="false">
      <c r="A2" s="2" t="n">
        <v>-1.62</v>
      </c>
      <c r="B2" s="2" t="n">
        <v>1.62</v>
      </c>
      <c r="C2" s="2" t="n">
        <v>1.62</v>
      </c>
      <c r="D2" s="2" t="n">
        <v>1.62</v>
      </c>
      <c r="E2" s="2" t="n">
        <v>1.62</v>
      </c>
      <c r="F2" s="2" t="n">
        <v>1.62</v>
      </c>
      <c r="G2" s="2" t="n">
        <v>1.64</v>
      </c>
      <c r="H2" s="2" t="n">
        <v>1.64</v>
      </c>
      <c r="I2" s="2" t="n">
        <v>0.09</v>
      </c>
      <c r="J2" s="2" t="n">
        <v>0.03</v>
      </c>
      <c r="K2" s="2" t="n">
        <v>0.03</v>
      </c>
      <c r="L2" s="2" t="n">
        <v>1.54</v>
      </c>
      <c r="M2" s="2" t="n">
        <v>1.54</v>
      </c>
      <c r="N2" s="2" t="n">
        <v>1.53</v>
      </c>
      <c r="O2" s="2" t="n">
        <v>1.53</v>
      </c>
      <c r="P2" s="2" t="n">
        <v>1.44</v>
      </c>
      <c r="Q2" s="2" t="n">
        <v>1.44</v>
      </c>
      <c r="R2" s="2" t="n">
        <v>2.25</v>
      </c>
      <c r="S2" s="2" t="n">
        <v>0.53</v>
      </c>
      <c r="T2" s="2" t="n">
        <v>0.26</v>
      </c>
      <c r="U2" s="2" t="n">
        <v>1.94</v>
      </c>
      <c r="V2" s="2" t="n">
        <v>1.94</v>
      </c>
      <c r="W2" s="2" t="n">
        <v>1.94</v>
      </c>
      <c r="X2" s="2" t="n">
        <v>1.87</v>
      </c>
      <c r="Y2" s="2" t="n">
        <v>1.7</v>
      </c>
      <c r="Z2" s="2" t="n">
        <v>1.7</v>
      </c>
      <c r="AA2" s="2" t="n">
        <v>1.77</v>
      </c>
      <c r="AB2" s="2" t="n">
        <v>1.77</v>
      </c>
      <c r="AC2" s="2" t="n">
        <v>1.84</v>
      </c>
      <c r="AD2" s="2" t="n">
        <v>0.07</v>
      </c>
      <c r="AE2" s="2" t="n">
        <v>1.82</v>
      </c>
      <c r="AF2" s="2" t="s">
        <v>124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2024-08-08T09:51:29Z</dcterms:created>
  <dc:creator/>
  <dc:description/>
  <dc:language>en-US</dc:language>
  <cp:lastModifiedBy/>
  <dcterms:modified xsi:type="dcterms:W3CDTF">2024-08-08T17:16:02Z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