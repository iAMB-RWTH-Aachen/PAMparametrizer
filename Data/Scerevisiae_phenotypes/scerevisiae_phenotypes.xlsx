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ents" sheetId="1" state="visible" r:id="rId2"/>
    <sheet name="exchanges_chemostat" sheetId="2" state="visible" r:id="rId3"/>
    <sheet name="exchanges_batch" sheetId="3" state="visible" r:id="rId4"/>
    <sheet name="exhcanges_nlim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<sst xmlns="http://schemas.openxmlformats.org/spreadsheetml/2006/main" count="66" uniqueCount="38">
  <si>
    <t xml:space="preserve">Supplementary Dataset 1 from Elsemman et al 2021</t>
  </si>
  <si>
    <t xml:space="preserve">selected and correctly parsed for generating the S. cerevisiae protein allocation model</t>
  </si>
  <si>
    <t xml:space="preserve">explanation of reaction name</t>
  </si>
  <si>
    <t xml:space="preserve">all rates are in mmol/gcdw/h, except the growth rate</t>
  </si>
  <si>
    <t xml:space="preserve">mu (/h)</t>
  </si>
  <si>
    <t xml:space="preserve">qGlc mmol/gDW/h</t>
  </si>
  <si>
    <t xml:space="preserve">qetoh</t>
  </si>
  <si>
    <t xml:space="preserve">qglyc</t>
  </si>
  <si>
    <t xml:space="preserve">q pyruvate</t>
  </si>
  <si>
    <t xml:space="preserve">qace</t>
  </si>
  <si>
    <t xml:space="preserve">q succinate</t>
  </si>
  <si>
    <t xml:space="preserve">q citrate</t>
  </si>
  <si>
    <t xml:space="preserve">qCO2</t>
  </si>
  <si>
    <t xml:space="preserve">qO2</t>
  </si>
  <si>
    <t xml:space="preserve">qMaltose</t>
  </si>
  <si>
    <t xml:space="preserve">qD-Galactose </t>
  </si>
  <si>
    <t xml:space="preserve">qTrehalose</t>
  </si>
  <si>
    <t xml:space="preserve">r_2111</t>
  </si>
  <si>
    <t xml:space="preserve">r_1714</t>
  </si>
  <si>
    <t xml:space="preserve">r_1761</t>
  </si>
  <si>
    <t xml:space="preserve">r_1808</t>
  </si>
  <si>
    <t xml:space="preserve">r_2033</t>
  </si>
  <si>
    <t xml:space="preserve">r_1634</t>
  </si>
  <si>
    <t xml:space="preserve">r_2056</t>
  </si>
  <si>
    <t xml:space="preserve">r_1687</t>
  </si>
  <si>
    <t xml:space="preserve">r_1672</t>
  </si>
  <si>
    <t xml:space="preserve">r_1992</t>
  </si>
  <si>
    <t xml:space="preserve">r_1931</t>
  </si>
  <si>
    <t xml:space="preserve">r_1710</t>
  </si>
  <si>
    <t xml:space="preserve">r_1650</t>
  </si>
  <si>
    <r>
      <rPr>
        <b val="true"/>
        <sz val="10"/>
        <color rgb="FF000000"/>
        <rFont val="Arial"/>
        <family val="2"/>
        <charset val="1"/>
      </rPr>
      <t xml:space="preserve">RQ</t>
    </r>
    <r>
      <rPr>
        <sz val="10"/>
        <color rgb="FF000000"/>
        <rFont val="Arial"/>
        <family val="2"/>
        <charset val="1"/>
      </rPr>
      <t xml:space="preserve"> denotes respiratory coefficient, which is defined as:</t>
    </r>
  </si>
  <si>
    <t xml:space="preserve"> RQ=-q_CO2/q_O2</t>
  </si>
  <si>
    <t xml:space="preserve">RQ</t>
  </si>
  <si>
    <t xml:space="preserve">Substrate</t>
  </si>
  <si>
    <t xml:space="preserve">Maltose</t>
  </si>
  <si>
    <t xml:space="preserve">Galactose</t>
  </si>
  <si>
    <t xml:space="preserve">Glucose</t>
  </si>
  <si>
    <t xml:space="preserve">Trehalose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</si>
</sst>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00"/>
    <numFmt numFmtId="166" formatCode="0.000"/>
    <numFmt numFmtId="167" formatCode="0.00"/>
    <numFmt numFmtId="168" formatCode="0.0"/>
  </numFmts>
  <fonts count="18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6"/>
      <color rgb="FF2F5597"/>
      <name val="Calibri"/>
      <family val="2"/>
      <charset val="1"/>
    </font>
    <font>
      <b val="true"/>
      <sz val="12"/>
      <name val="Calibri"/>
      <family val="2"/>
      <charset val="1"/>
    </font>
    <font>
      <sz val="10"/>
      <color rgb="FF000000"/>
      <name val="Arial"/>
      <family val="2"/>
    </font>
    <font>
      <b val="true"/>
      <sz val="10"/>
      <color rgb="FF000000"/>
      <name val="Arial"/>
      <family val="2"/>
      <charset val="1"/>
    </font>
    <font>
      <b val="true"/>
      <sz val="10"/>
      <color rgb="FF000000"/>
      <name val="Arial"/>
      <family val="2"/>
    </font>
    <font>
      <b val="true"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sz val="12"/>
      <color rgb="FFED7D3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BF9000"/>
      <name val="Calibri"/>
      <family val="2"/>
      <charset val="1"/>
    </font>
    <font>
      <sz val="12"/>
      <color rgb="FFFF0000"/>
      <name val="Calibri"/>
      <family val="2"/>
      <charset val="1"/>
    </font>
    <font>
      <b val="true"/>
      <sz val="1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DEEBF7"/>
        <bgColor rgb="FFE2F0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90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ColWidth="8.7890625" defaultRowHeight="12.75" zeroHeight="false" outlineLevelRow="0" outlineLevelCol="0"/>
  <cols>
    <col collapsed="false" customWidth="true" hidden="false" outlineLevel="0" max="1" min="1" style="1" width="10"/>
    <col collapsed="false" customWidth="false" hidden="false" outlineLevel="0" max="1024" min="2" style="1" width="8.8"/>
  </cols>
  <sheetData>
    <row r="1" customFormat="false" ht="12.75" hidden="false" customHeight="false" outlineLevel="0" collapsed="false">
      <c r="A1" s="2" t="s">
        <v>0</v>
      </c>
    </row>
    <row r="2" customFormat="false" ht="12.75" hidden="false" customHeight="false" outlineLevel="0" collapsed="false">
      <c r="A2" s="1" t="s">
        <v>1</v>
      </c>
    </row>
    <row r="4" customFormat="false" ht="19.7" hidden="false" customHeight="false" outlineLevel="0" collapsed="false">
      <c r="A4" s="3" t="s">
        <v>2</v>
      </c>
      <c r="B4" s="0"/>
      <c r="C4" s="4"/>
      <c r="D4" s="4"/>
      <c r="E4" s="4" t="s">
        <v>3</v>
      </c>
      <c r="F4" s="4"/>
      <c r="G4" s="4"/>
      <c r="H4" s="4"/>
      <c r="I4" s="4"/>
      <c r="J4" s="4"/>
      <c r="K4" s="4"/>
      <c r="L4" s="4"/>
      <c r="M4" s="4"/>
      <c r="N4" s="4"/>
      <c r="O4" s="0"/>
    </row>
    <row r="5" customFormat="false" ht="15" hidden="false" customHeight="false" outlineLevel="0" collapsed="false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1" t="s">
        <v>14</v>
      </c>
      <c r="L5" s="1" t="s">
        <v>15</v>
      </c>
      <c r="M5" s="1" t="s">
        <v>16</v>
      </c>
      <c r="N5" s="5"/>
      <c r="O5" s="0"/>
    </row>
    <row r="6" customFormat="false" ht="12.8" hidden="false" customHeight="false" outlineLevel="0" collapsed="false">
      <c r="A6" s="6" t="s">
        <v>17</v>
      </c>
      <c r="B6" s="6" t="s">
        <v>18</v>
      </c>
      <c r="C6" s="6" t="s">
        <v>19</v>
      </c>
      <c r="D6" s="6" t="s">
        <v>20</v>
      </c>
      <c r="E6" s="6" t="s">
        <v>21</v>
      </c>
      <c r="F6" s="6" t="s">
        <v>22</v>
      </c>
      <c r="G6" s="6" t="s">
        <v>23</v>
      </c>
      <c r="H6" s="6" t="s">
        <v>24</v>
      </c>
      <c r="I6" s="6" t="s">
        <v>25</v>
      </c>
      <c r="J6" s="6" t="s">
        <v>26</v>
      </c>
      <c r="K6" s="6" t="s">
        <v>27</v>
      </c>
      <c r="L6" s="6" t="s">
        <v>28</v>
      </c>
      <c r="M6" s="6" t="s">
        <v>29</v>
      </c>
    </row>
    <row r="8" customFormat="false" ht="12.75" hidden="false" customHeight="false" outlineLevel="0" collapsed="false">
      <c r="A8" s="7" t="s">
        <v>30</v>
      </c>
    </row>
    <row r="9" customFormat="false" ht="12.75" hidden="false" customHeight="false" outlineLevel="0" collapsed="false">
      <c r="A9" s="6" t="s">
        <v>31</v>
      </c>
    </row>
    <row r="10" customFormat="false" ht="15" hidden="false" customHeight="false" outlineLevel="0" collapsed="false">
      <c r="B10" s="0"/>
      <c r="C10" s="0"/>
      <c r="D10" s="0"/>
    </row>
    <row r="11" customFormat="false" ht="15" hidden="false" customHeight="false" outlineLevel="0" collapsed="false">
      <c r="B11" s="0"/>
      <c r="C11" s="0"/>
      <c r="D11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K3" activeCellId="0" sqref="K3"/>
    </sheetView>
  </sheetViews>
  <sheetFormatPr defaultColWidth="10.9921875" defaultRowHeight="15" zeroHeight="false" outlineLevelRow="0" outlineLevelCol="0"/>
  <cols>
    <col collapsed="false" customWidth="true" hidden="false" outlineLevel="0" max="11" min="1" style="0" width="11.2"/>
    <col collapsed="false" customWidth="true" hidden="false" outlineLevel="0" max="1024" min="996" style="0" width="10.5"/>
  </cols>
  <sheetData>
    <row r="1" customFormat="false" ht="15" hidden="false" customHeight="false" outlineLevel="0" collapsed="false">
      <c r="A1" s="8" t="s">
        <v>17</v>
      </c>
      <c r="B1" s="8" t="s">
        <v>18</v>
      </c>
      <c r="C1" s="8" t="s">
        <v>19</v>
      </c>
      <c r="D1" s="8" t="s">
        <v>20</v>
      </c>
      <c r="E1" s="8" t="s">
        <v>21</v>
      </c>
      <c r="F1" s="8" t="s">
        <v>22</v>
      </c>
      <c r="G1" s="8" t="s">
        <v>23</v>
      </c>
      <c r="H1" s="8" t="s">
        <v>24</v>
      </c>
      <c r="I1" s="8" t="s">
        <v>25</v>
      </c>
      <c r="J1" s="8" t="s">
        <v>26</v>
      </c>
      <c r="K1" s="5" t="s">
        <v>32</v>
      </c>
      <c r="N1" s="9"/>
      <c r="O1" s="9"/>
      <c r="Q1" s="9"/>
    </row>
    <row r="2" customFormat="false" ht="15" hidden="false" customHeight="false" outlineLevel="0" collapsed="false">
      <c r="A2" s="10" t="n">
        <v>0.19565834140424</v>
      </c>
      <c r="B2" s="10" t="n">
        <v>-2.12596035635906</v>
      </c>
      <c r="C2" s="10" t="n">
        <v>0</v>
      </c>
      <c r="D2" s="10" t="n">
        <v>0</v>
      </c>
      <c r="E2" s="10" t="n">
        <v>0.00157953348529465</v>
      </c>
      <c r="F2" s="10" t="n">
        <v>0.0165596252490568</v>
      </c>
      <c r="G2" s="10" t="n">
        <v>0.0193620233681279</v>
      </c>
      <c r="H2" s="10" t="n">
        <v>0</v>
      </c>
      <c r="I2" s="10" t="n">
        <v>5.39284808753607</v>
      </c>
      <c r="J2" s="10" t="n">
        <v>-5.33021797992568</v>
      </c>
      <c r="K2" s="10" t="n">
        <f aca="false">(-1)*I2/J2</f>
        <v>1.011750008695</v>
      </c>
    </row>
    <row r="3" customFormat="false" ht="15" hidden="false" customHeight="false" outlineLevel="0" collapsed="false">
      <c r="A3" s="10" t="n">
        <v>0.202359511908857</v>
      </c>
      <c r="B3" s="10" t="n">
        <v>-2.24907836514341</v>
      </c>
      <c r="C3" s="10" t="n">
        <v>0</v>
      </c>
      <c r="D3" s="10" t="n">
        <v>0</v>
      </c>
      <c r="E3" s="10" t="n">
        <v>0.00273748941839568</v>
      </c>
      <c r="F3" s="10" t="n">
        <v>0.0388616144885976</v>
      </c>
      <c r="G3" s="10" t="n">
        <v>0.0762202936102326</v>
      </c>
      <c r="H3" s="10" t="n">
        <v>0</v>
      </c>
      <c r="I3" s="10" t="n">
        <v>5.59989930720204</v>
      </c>
      <c r="J3" s="10" t="n">
        <v>-5.4994469169805</v>
      </c>
      <c r="K3" s="10" t="n">
        <f aca="false">(-1)*I3/J3</f>
        <v>1.01826590777909</v>
      </c>
    </row>
    <row r="4" customFormat="false" ht="15" hidden="false" customHeight="false" outlineLevel="0" collapsed="false">
      <c r="A4" s="11" t="n">
        <v>0.229</v>
      </c>
      <c r="B4" s="11" t="n">
        <v>-2.55380629550308</v>
      </c>
      <c r="C4" s="11" t="n">
        <v>0</v>
      </c>
      <c r="D4" s="11" t="n">
        <v>0</v>
      </c>
      <c r="E4" s="11" t="n">
        <v>0.00476608017402302</v>
      </c>
      <c r="F4" s="11" t="n">
        <v>0.0392285060477279</v>
      </c>
      <c r="G4" s="11" t="n">
        <v>0.0799234983028478</v>
      </c>
      <c r="H4" s="11" t="n">
        <v>0</v>
      </c>
      <c r="I4" s="11" t="n">
        <v>5.94907653183276</v>
      </c>
      <c r="J4" s="11" t="n">
        <v>-5.99782711562083</v>
      </c>
      <c r="K4" s="11" t="n">
        <f aca="false">(-1)*I4/J4</f>
        <v>0.991871959153157</v>
      </c>
    </row>
    <row r="5" customFormat="false" ht="15" hidden="false" customHeight="false" outlineLevel="0" collapsed="false">
      <c r="A5" s="11" t="n">
        <v>0.225</v>
      </c>
      <c r="B5" s="11" t="n">
        <v>-2.50978978978979</v>
      </c>
      <c r="C5" s="11" t="n">
        <v>0</v>
      </c>
      <c r="D5" s="11" t="n">
        <v>0</v>
      </c>
      <c r="E5" s="11" t="n">
        <v>0.00414414414414413</v>
      </c>
      <c r="F5" s="11" t="n">
        <v>0.0263063063063063</v>
      </c>
      <c r="G5" s="11" t="n">
        <v>0.0751951951951952</v>
      </c>
      <c r="H5" s="11" t="n">
        <v>0</v>
      </c>
      <c r="I5" s="11" t="n">
        <v>5.94772606931581</v>
      </c>
      <c r="J5" s="11" t="n">
        <v>-5.92884028035387</v>
      </c>
      <c r="K5" s="11" t="n">
        <f aca="false">(-1)*I5/J5</f>
        <v>1.00318541031111</v>
      </c>
    </row>
    <row r="6" customFormat="false" ht="15" hidden="false" customHeight="false" outlineLevel="0" collapsed="false">
      <c r="A6" s="12" t="n">
        <v>0.268</v>
      </c>
      <c r="B6" s="12" t="n">
        <v>-3.16148841030994</v>
      </c>
      <c r="C6" s="12" t="n">
        <v>0</v>
      </c>
      <c r="D6" s="12" t="n">
        <v>0</v>
      </c>
      <c r="E6" s="12" t="n">
        <v>0.00884543896708946</v>
      </c>
      <c r="F6" s="12" t="n">
        <v>0.0464196540666062</v>
      </c>
      <c r="G6" s="12" t="n">
        <v>0.111588614661744</v>
      </c>
      <c r="H6" s="12" t="n">
        <v>0</v>
      </c>
      <c r="I6" s="12" t="n">
        <v>7.78069675060569</v>
      </c>
      <c r="J6" s="12" t="n">
        <v>-7.22651251790009</v>
      </c>
      <c r="K6" s="12" t="n">
        <f aca="false">(-1)*I6/J6</f>
        <v>1.07668764585032</v>
      </c>
    </row>
    <row r="7" customFormat="false" ht="15" hidden="false" customHeight="false" outlineLevel="0" collapsed="false">
      <c r="A7" s="12" t="n">
        <v>0.273</v>
      </c>
      <c r="B7" s="12" t="n">
        <v>-3.19800154813625</v>
      </c>
      <c r="C7" s="12" t="n">
        <v>0</v>
      </c>
      <c r="D7" s="12" t="n">
        <v>0</v>
      </c>
      <c r="E7" s="12" t="n">
        <v>0.00830639764309504</v>
      </c>
      <c r="F7" s="12" t="n">
        <v>0.0403014107868687</v>
      </c>
      <c r="G7" s="12" t="n">
        <v>0.119673654931999</v>
      </c>
      <c r="H7" s="12" t="n">
        <v>0</v>
      </c>
      <c r="I7" s="12" t="n">
        <v>8.80375978401854</v>
      </c>
      <c r="J7" s="12" t="n">
        <v>-8.16214512055445</v>
      </c>
      <c r="K7" s="12" t="n">
        <f aca="false">(-1)*I7/J7</f>
        <v>1.0786085831589</v>
      </c>
    </row>
    <row r="8" customFormat="false" ht="15" hidden="false" customHeight="false" outlineLevel="0" collapsed="false">
      <c r="A8" s="10" t="n">
        <v>0.303</v>
      </c>
      <c r="B8" s="10" t="n">
        <v>-4.11711135323304</v>
      </c>
      <c r="C8" s="10" t="n">
        <v>1.16594986962348</v>
      </c>
      <c r="D8" s="10" t="n">
        <v>0</v>
      </c>
      <c r="E8" s="10" t="n">
        <v>0.00954392799146095</v>
      </c>
      <c r="F8" s="10" t="n">
        <v>0.220106839303069</v>
      </c>
      <c r="G8" s="10" t="n">
        <v>0.174972013176785</v>
      </c>
      <c r="H8" s="10" t="n">
        <v>0</v>
      </c>
      <c r="I8" s="10" t="n">
        <v>10.0411335063043</v>
      </c>
      <c r="J8" s="10" t="n">
        <v>-9.2671582926777</v>
      </c>
      <c r="K8" s="10" t="n">
        <f aca="false">(-1)*I8/J8</f>
        <v>1.08351807416931</v>
      </c>
    </row>
    <row r="9" customFormat="false" ht="15" hidden="false" customHeight="false" outlineLevel="0" collapsed="false">
      <c r="A9" s="10" t="n">
        <v>0.302</v>
      </c>
      <c r="B9" s="10" t="n">
        <v>-4.26557419019218</v>
      </c>
      <c r="C9" s="10" t="n">
        <v>1.90607642344433</v>
      </c>
      <c r="D9" s="10" t="n">
        <v>0</v>
      </c>
      <c r="E9" s="10" t="n">
        <v>0.0141039435085961</v>
      </c>
      <c r="F9" s="10" t="n">
        <v>0.283918514977392</v>
      </c>
      <c r="G9" s="10" t="n">
        <v>0.160253503054194</v>
      </c>
      <c r="H9" s="10" t="n">
        <v>0</v>
      </c>
      <c r="I9" s="10" t="n">
        <v>10.1768478168483</v>
      </c>
      <c r="J9" s="10" t="n">
        <v>-8.96169069811147</v>
      </c>
      <c r="K9" s="10" t="n">
        <f aca="false">(-1)*I9/J9</f>
        <v>1.1355946282539</v>
      </c>
    </row>
    <row r="10" customFormat="false" ht="15" hidden="false" customHeight="false" outlineLevel="0" collapsed="false">
      <c r="A10" s="10" t="n">
        <v>0.3</v>
      </c>
      <c r="B10" s="10" t="n">
        <v>-4.34287707054694</v>
      </c>
      <c r="C10" s="10" t="n">
        <v>3.02771749216287</v>
      </c>
      <c r="D10" s="10" t="n">
        <v>0</v>
      </c>
      <c r="E10" s="10" t="n">
        <v>0.0124974580028737</v>
      </c>
      <c r="F10" s="10" t="n">
        <v>0.28306742376509</v>
      </c>
      <c r="G10" s="10" t="n">
        <v>0.154968479235634</v>
      </c>
      <c r="H10" s="10" t="n">
        <v>0.208082675747847</v>
      </c>
      <c r="I10" s="10" t="n">
        <v>10.1482682076682</v>
      </c>
      <c r="J10" s="10" t="n">
        <v>-8.10473003998778</v>
      </c>
      <c r="K10" s="10" t="n">
        <f aca="false">(-1)*I10/J10</f>
        <v>1.25214142329206</v>
      </c>
    </row>
    <row r="11" customFormat="false" ht="15" hidden="false" customHeight="false" outlineLevel="0" collapsed="false">
      <c r="A11" s="10" t="n">
        <v>0.3</v>
      </c>
      <c r="B11" s="10" t="n">
        <v>-4.30336146427907</v>
      </c>
      <c r="C11" s="10" t="n">
        <v>2.87676200095274</v>
      </c>
      <c r="D11" s="10" t="n">
        <v>0</v>
      </c>
      <c r="E11" s="10" t="n">
        <v>0.0120915776013605</v>
      </c>
      <c r="F11" s="10" t="n">
        <v>0.263947770887818</v>
      </c>
      <c r="G11" s="10" t="n">
        <v>0.152953289316355</v>
      </c>
      <c r="H11" s="10" t="n">
        <v>0.205246778771811</v>
      </c>
      <c r="I11" s="10" t="n">
        <v>10.2013463763964</v>
      </c>
      <c r="J11" s="10" t="n">
        <v>-8.17853066638294</v>
      </c>
      <c r="K11" s="10" t="n">
        <f aca="false">(-1)*I11/J11</f>
        <v>1.24733241122737</v>
      </c>
    </row>
    <row r="12" customFormat="false" ht="15" hidden="false" customHeight="false" outlineLevel="0" collapsed="false">
      <c r="A12" s="12" t="n">
        <v>0.316</v>
      </c>
      <c r="B12" s="12" t="n">
        <v>-4.07976607198043</v>
      </c>
      <c r="C12" s="12" t="n">
        <v>1.41469034863556</v>
      </c>
      <c r="D12" s="12" t="n">
        <v>0</v>
      </c>
      <c r="E12" s="12" t="n">
        <v>0.0441416347861602</v>
      </c>
      <c r="F12" s="12" t="n">
        <v>0.163618326274034</v>
      </c>
      <c r="G12" s="12" t="n">
        <v>0.268773509586843</v>
      </c>
      <c r="H12" s="12" t="n">
        <v>0.244838934280569</v>
      </c>
      <c r="I12" s="12" t="n">
        <v>10.2786440106225</v>
      </c>
      <c r="J12" s="12" t="n">
        <v>-8.94674721768848</v>
      </c>
      <c r="K12" s="12" t="n">
        <f aca="false">(-1)*I12/J12</f>
        <v>1.14886938912287</v>
      </c>
    </row>
    <row r="13" customFormat="false" ht="15" hidden="false" customHeight="false" outlineLevel="0" collapsed="false">
      <c r="A13" s="12" t="n">
        <v>0.32</v>
      </c>
      <c r="B13" s="12" t="n">
        <v>-4.18166146902202</v>
      </c>
      <c r="C13" s="12" t="n">
        <v>1.84289955650343</v>
      </c>
      <c r="D13" s="12" t="n">
        <v>0</v>
      </c>
      <c r="E13" s="12" t="n">
        <v>0.0124192770901776</v>
      </c>
      <c r="F13" s="12" t="n">
        <v>0.286148221736288</v>
      </c>
      <c r="G13" s="12" t="n">
        <v>0.132068410032133</v>
      </c>
      <c r="H13" s="12" t="n">
        <v>0</v>
      </c>
      <c r="I13" s="12" t="n">
        <v>10.4488824425931</v>
      </c>
      <c r="J13" s="12" t="n">
        <v>-8.72393144281347</v>
      </c>
      <c r="K13" s="12" t="n">
        <f aca="false">(-1)*I13/J13</f>
        <v>1.19772633600882</v>
      </c>
    </row>
    <row r="14" customFormat="false" ht="15" hidden="false" customHeight="false" outlineLevel="0" collapsed="false">
      <c r="A14" s="12" t="n">
        <v>0.32</v>
      </c>
      <c r="B14" s="12" t="n">
        <v>-4.86699335788771</v>
      </c>
      <c r="C14" s="12" t="n">
        <v>4.94171326014536</v>
      </c>
      <c r="D14" s="12" t="n">
        <v>0</v>
      </c>
      <c r="E14" s="12" t="n">
        <v>0.0143872072286944</v>
      </c>
      <c r="F14" s="12" t="n">
        <v>0.345292973488665</v>
      </c>
      <c r="G14" s="12" t="n">
        <v>0.182004019901207</v>
      </c>
      <c r="H14" s="12" t="n">
        <v>0</v>
      </c>
      <c r="I14" s="12" t="n">
        <v>10.9644785028017</v>
      </c>
      <c r="J14" s="12" t="n">
        <v>-8.0300886324076</v>
      </c>
      <c r="K14" s="12" t="n">
        <f aca="false">(-1)*I14/J14</f>
        <v>1.36542434395451</v>
      </c>
    </row>
    <row r="15" customFormat="false" ht="15" hidden="false" customHeight="false" outlineLevel="0" collapsed="false">
      <c r="A15" s="12" t="n">
        <v>0.32</v>
      </c>
      <c r="B15" s="12" t="n">
        <v>-4.9541038381495</v>
      </c>
      <c r="C15" s="12" t="n">
        <v>5.40472391612343</v>
      </c>
      <c r="D15" s="12" t="n">
        <v>0</v>
      </c>
      <c r="E15" s="12" t="n">
        <v>0.0168026209854346</v>
      </c>
      <c r="F15" s="12" t="n">
        <v>0.362507610196398</v>
      </c>
      <c r="G15" s="12" t="n">
        <v>0.164927854211642</v>
      </c>
      <c r="H15" s="12" t="n">
        <v>0</v>
      </c>
      <c r="I15" s="12" t="n">
        <v>11.0458620359988</v>
      </c>
      <c r="J15" s="12" t="n">
        <v>-7.8809546277295</v>
      </c>
      <c r="K15" s="12" t="n">
        <f aca="false">(-1)*I15/J15</f>
        <v>1.40158934517063</v>
      </c>
    </row>
    <row r="16" customFormat="false" ht="15" hidden="false" customHeight="false" outlineLevel="0" collapsed="false">
      <c r="A16" s="11" t="n">
        <v>0.337</v>
      </c>
      <c r="B16" s="11" t="n">
        <v>-5.64381864600561</v>
      </c>
      <c r="C16" s="11" t="n">
        <v>7.2258229982071</v>
      </c>
      <c r="D16" s="11" t="n">
        <v>0</v>
      </c>
      <c r="E16" s="11" t="n">
        <v>0.0244308227145512</v>
      </c>
      <c r="F16" s="11" t="n">
        <v>0.49485988676252</v>
      </c>
      <c r="G16" s="11" t="n">
        <v>0.191103324344934</v>
      </c>
      <c r="H16" s="11" t="n">
        <v>0</v>
      </c>
      <c r="I16" s="11" t="n">
        <v>12.3581991188685</v>
      </c>
      <c r="J16" s="11" t="n">
        <v>-8.00484639119702</v>
      </c>
      <c r="K16" s="11" t="n">
        <f aca="false">(-1)*I16/J16</f>
        <v>1.54383963350738</v>
      </c>
    </row>
    <row r="17" customFormat="false" ht="15" hidden="false" customHeight="false" outlineLevel="0" collapsed="false">
      <c r="A17" s="11" t="n">
        <v>0.34</v>
      </c>
      <c r="B17" s="11" t="n">
        <v>-6.00570776004484</v>
      </c>
      <c r="C17" s="11" t="n">
        <v>8.58716871665567</v>
      </c>
      <c r="D17" s="11" t="n">
        <v>0</v>
      </c>
      <c r="E17" s="11" t="n">
        <v>0.0320352129982113</v>
      </c>
      <c r="F17" s="11" t="n">
        <v>0.572881962175219</v>
      </c>
      <c r="G17" s="11" t="n">
        <v>0.180089846043999</v>
      </c>
      <c r="H17" s="11" t="n">
        <v>0</v>
      </c>
      <c r="I17" s="11" t="n">
        <v>12.6407574947746</v>
      </c>
      <c r="J17" s="11" t="n">
        <v>-7.48790539748268</v>
      </c>
      <c r="K17" s="11" t="n">
        <f aca="false">(-1)*I17/J17</f>
        <v>1.68815667716959</v>
      </c>
    </row>
    <row r="21" customFormat="false" ht="15" hidden="false" customHeight="false" outlineLevel="0" collapsed="false">
      <c r="C21" s="5"/>
      <c r="D21" s="5"/>
      <c r="H21" s="5"/>
      <c r="I21" s="5"/>
    </row>
    <row r="22" customFormat="false" ht="15" hidden="false" customHeight="false" outlineLevel="0" collapsed="false">
      <c r="A22" s="13"/>
      <c r="B22" s="13"/>
      <c r="C22" s="13"/>
      <c r="D22" s="13"/>
      <c r="E22" s="13"/>
      <c r="F22" s="13"/>
      <c r="G22" s="13"/>
      <c r="H22" s="13"/>
      <c r="I22" s="9"/>
      <c r="J22" s="9"/>
      <c r="K22" s="13"/>
      <c r="L22" s="9"/>
      <c r="M22" s="9"/>
      <c r="N22" s="9"/>
      <c r="O22" s="9"/>
      <c r="P22" s="9"/>
      <c r="Q22" s="9"/>
    </row>
    <row r="23" customFormat="false" ht="15" hidden="false" customHeight="false" outlineLevel="0" collapsed="false">
      <c r="A23" s="14"/>
      <c r="B23" s="15"/>
      <c r="C23" s="16"/>
      <c r="D23" s="14"/>
      <c r="E23" s="17"/>
      <c r="F23" s="14"/>
      <c r="G23" s="14"/>
      <c r="H23" s="14"/>
      <c r="K23" s="4"/>
    </row>
    <row r="24" customFormat="false" ht="15" hidden="false" customHeight="false" outlineLevel="0" collapsed="false">
      <c r="A24" s="14"/>
      <c r="B24" s="15"/>
      <c r="C24" s="16"/>
      <c r="D24" s="14"/>
      <c r="E24" s="17"/>
      <c r="F24" s="14"/>
      <c r="G24" s="14"/>
      <c r="H24" s="14"/>
      <c r="K24" s="4"/>
    </row>
    <row r="25" customFormat="false" ht="15" hidden="false" customHeight="false" outlineLevel="0" collapsed="false">
      <c r="A25" s="14"/>
      <c r="B25" s="15"/>
      <c r="C25" s="16"/>
      <c r="D25" s="14"/>
      <c r="E25" s="17"/>
      <c r="F25" s="14"/>
      <c r="G25" s="14"/>
      <c r="H25" s="14"/>
      <c r="K25" s="4"/>
    </row>
    <row r="26" customFormat="false" ht="15" hidden="false" customHeight="false" outlineLevel="0" collapsed="false">
      <c r="A26" s="14"/>
      <c r="B26" s="15"/>
      <c r="C26" s="16"/>
      <c r="D26" s="17"/>
      <c r="E26" s="17"/>
      <c r="F26" s="14"/>
      <c r="G26" s="14"/>
      <c r="H26" s="14"/>
      <c r="K26" s="4"/>
    </row>
    <row r="27" customFormat="false" ht="15" hidden="false" customHeight="false" outlineLevel="0" collapsed="false">
      <c r="A27" s="14"/>
      <c r="B27" s="15"/>
      <c r="C27" s="16"/>
      <c r="D27" s="17"/>
      <c r="E27" s="17"/>
      <c r="F27" s="14"/>
      <c r="G27" s="14"/>
      <c r="H27" s="14"/>
      <c r="K27" s="4"/>
    </row>
    <row r="28" customFormat="false" ht="15" hidden="false" customHeight="false" outlineLevel="0" collapsed="false">
      <c r="A28" s="14"/>
      <c r="B28" s="15"/>
      <c r="C28" s="16"/>
      <c r="D28" s="14"/>
      <c r="E28" s="17"/>
      <c r="F28" s="14"/>
      <c r="G28" s="14"/>
      <c r="H28" s="14"/>
      <c r="K28" s="15"/>
    </row>
    <row r="29" customFormat="false" ht="15" hidden="false" customHeight="false" outlineLevel="0" collapsed="false">
      <c r="A29" s="14"/>
      <c r="B29" s="15"/>
      <c r="C29" s="16"/>
      <c r="D29" s="14"/>
      <c r="E29" s="17"/>
      <c r="F29" s="14"/>
      <c r="G29" s="14"/>
      <c r="H29" s="14"/>
      <c r="K29" s="4"/>
    </row>
    <row r="30" customFormat="false" ht="15" hidden="false" customHeight="false" outlineLevel="0" collapsed="false">
      <c r="A30" s="14"/>
      <c r="B30" s="15"/>
      <c r="C30" s="16"/>
      <c r="D30" s="17"/>
      <c r="E30" s="17"/>
      <c r="F30" s="14"/>
      <c r="G30" s="14"/>
      <c r="H30" s="14"/>
      <c r="K30" s="4"/>
    </row>
    <row r="31" customFormat="false" ht="15" hidden="false" customHeight="false" outlineLevel="0" collapsed="false">
      <c r="A31" s="14"/>
      <c r="B31" s="15"/>
      <c r="C31" s="16"/>
      <c r="D31" s="14"/>
      <c r="E31" s="17"/>
      <c r="F31" s="14"/>
      <c r="G31" s="14"/>
      <c r="H31" s="14"/>
      <c r="K31" s="18"/>
    </row>
    <row r="32" customFormat="false" ht="15" hidden="false" customHeight="false" outlineLevel="0" collapsed="false">
      <c r="A32" s="14"/>
      <c r="B32" s="15"/>
      <c r="C32" s="16"/>
      <c r="D32" s="14"/>
      <c r="E32" s="17"/>
      <c r="F32" s="14"/>
      <c r="G32" s="14"/>
      <c r="H32" s="14"/>
      <c r="K32" s="4"/>
    </row>
    <row r="33" customFormat="false" ht="15" hidden="false" customHeight="false" outlineLevel="0" collapsed="false">
      <c r="A33" s="14"/>
      <c r="B33" s="15"/>
      <c r="C33" s="16"/>
      <c r="D33" s="14"/>
      <c r="E33" s="17"/>
      <c r="F33" s="14"/>
      <c r="G33" s="14"/>
      <c r="H33" s="14"/>
      <c r="K33" s="19"/>
    </row>
    <row r="34" customFormat="false" ht="15" hidden="false" customHeight="false" outlineLevel="0" collapsed="false">
      <c r="A34" s="14"/>
      <c r="B34" s="15"/>
      <c r="C34" s="16"/>
      <c r="D34" s="14"/>
      <c r="E34" s="17"/>
      <c r="F34" s="14"/>
      <c r="G34" s="14"/>
      <c r="H34" s="14"/>
      <c r="K34" s="4"/>
    </row>
    <row r="35" customFormat="false" ht="15" hidden="false" customHeight="false" outlineLevel="0" collapsed="false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</row>
    <row r="36" customFormat="false" ht="15" hidden="false" customHeight="false" outlineLevel="0" collapsed="false">
      <c r="B36" s="4"/>
      <c r="C36" s="4"/>
      <c r="D36" s="4"/>
      <c r="E36" s="4"/>
      <c r="F36" s="4"/>
      <c r="G36" s="4"/>
      <c r="H36" s="4"/>
      <c r="I36" s="4"/>
      <c r="J36" s="4"/>
      <c r="K36" s="4"/>
    </row>
    <row r="37" customFormat="false" ht="15" hidden="false" customHeight="fals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9"/>
      <c r="M37" s="9"/>
      <c r="N37" s="9"/>
      <c r="O37" s="9"/>
      <c r="P37" s="9"/>
      <c r="Q37" s="9"/>
    </row>
    <row r="38" customFormat="false" ht="15" hidden="false" customHeight="false" outlineLevel="0" collapsed="false">
      <c r="A38" s="14"/>
      <c r="B38" s="15"/>
      <c r="C38" s="16"/>
      <c r="D38" s="14"/>
      <c r="E38" s="15"/>
      <c r="F38" s="16"/>
      <c r="G38" s="14"/>
      <c r="H38" s="15"/>
      <c r="I38" s="16"/>
      <c r="J38" s="14"/>
      <c r="K38" s="15"/>
    </row>
    <row r="39" customFormat="false" ht="15" hidden="false" customHeight="false" outlineLevel="0" collapsed="false">
      <c r="A39" s="14"/>
      <c r="B39" s="15"/>
      <c r="C39" s="16"/>
      <c r="D39" s="14"/>
      <c r="E39" s="15"/>
      <c r="F39" s="16"/>
      <c r="G39" s="14"/>
      <c r="H39" s="15"/>
      <c r="I39" s="16"/>
      <c r="J39" s="14"/>
      <c r="K39" s="15"/>
    </row>
    <row r="40" customFormat="false" ht="15" hidden="false" customHeight="false" outlineLevel="0" collapsed="false">
      <c r="A40" s="14"/>
      <c r="B40" s="15"/>
      <c r="C40" s="16"/>
      <c r="D40" s="14"/>
      <c r="E40" s="15"/>
      <c r="F40" s="16"/>
      <c r="G40" s="14"/>
      <c r="H40" s="15"/>
      <c r="I40" s="16"/>
      <c r="J40" s="14"/>
      <c r="K40" s="15"/>
    </row>
    <row r="41" customFormat="false" ht="15" hidden="false" customHeight="false" outlineLevel="0" collapsed="false">
      <c r="A41" s="14"/>
      <c r="B41" s="15"/>
      <c r="C41" s="16"/>
      <c r="D41" s="14"/>
      <c r="E41" s="15"/>
      <c r="F41" s="16"/>
      <c r="G41" s="14"/>
      <c r="H41" s="15"/>
      <c r="I41" s="16"/>
      <c r="J41" s="14"/>
      <c r="K41" s="15"/>
    </row>
    <row r="42" customFormat="false" ht="15" hidden="false" customHeight="false" outlineLevel="0" collapsed="false">
      <c r="A42" s="14"/>
      <c r="B42" s="15"/>
      <c r="C42" s="16"/>
      <c r="D42" s="14"/>
      <c r="E42" s="15"/>
      <c r="F42" s="16"/>
      <c r="G42" s="14"/>
      <c r="H42" s="15"/>
      <c r="I42" s="16"/>
      <c r="J42" s="14"/>
      <c r="K42" s="15"/>
    </row>
    <row r="43" customFormat="false" ht="15" hidden="false" customHeight="false" outlineLevel="0" collapsed="false">
      <c r="A43" s="14"/>
      <c r="B43" s="15"/>
      <c r="C43" s="16"/>
      <c r="D43" s="14"/>
      <c r="E43" s="15"/>
      <c r="F43" s="16"/>
      <c r="G43" s="14"/>
      <c r="H43" s="20"/>
      <c r="I43" s="21"/>
      <c r="J43" s="14"/>
      <c r="K43" s="15"/>
    </row>
    <row r="44" customFormat="false" ht="15" hidden="false" customHeight="false" outlineLevel="0" collapsed="false">
      <c r="A44" s="14"/>
      <c r="B44" s="15"/>
      <c r="C44" s="16"/>
      <c r="D44" s="14"/>
      <c r="E44" s="15"/>
      <c r="F44" s="16"/>
      <c r="G44" s="14"/>
      <c r="H44" s="15"/>
      <c r="I44" s="16"/>
      <c r="J44" s="14"/>
      <c r="K44" s="15"/>
    </row>
    <row r="45" customFormat="false" ht="15" hidden="false" customHeight="false" outlineLevel="0" collapsed="false">
      <c r="A45" s="14"/>
      <c r="B45" s="15"/>
      <c r="C45" s="16"/>
      <c r="D45" s="14"/>
      <c r="E45" s="15"/>
      <c r="F45" s="16"/>
      <c r="G45" s="14"/>
      <c r="H45" s="15"/>
      <c r="I45" s="16"/>
      <c r="J45" s="14"/>
      <c r="K45" s="15"/>
    </row>
    <row r="46" customFormat="false" ht="15" hidden="false" customHeight="false" outlineLevel="0" collapsed="false">
      <c r="A46" s="14"/>
      <c r="B46" s="15"/>
      <c r="C46" s="16"/>
      <c r="D46" s="14"/>
      <c r="E46" s="15"/>
      <c r="F46" s="16"/>
      <c r="G46" s="14"/>
      <c r="H46" s="15"/>
      <c r="I46" s="16"/>
      <c r="J46" s="14"/>
      <c r="K46" s="15"/>
    </row>
    <row r="47" customFormat="false" ht="15" hidden="false" customHeight="false" outlineLevel="0" collapsed="false">
      <c r="A47" s="14"/>
      <c r="B47" s="15"/>
      <c r="C47" s="16"/>
      <c r="D47" s="14"/>
      <c r="E47" s="15"/>
      <c r="F47" s="16"/>
      <c r="G47" s="14"/>
      <c r="H47" s="15"/>
      <c r="I47" s="16"/>
      <c r="J47" s="14"/>
      <c r="K47" s="15"/>
    </row>
    <row r="48" customFormat="false" ht="15" hidden="false" customHeight="false" outlineLevel="0" collapsed="false">
      <c r="A48" s="14"/>
      <c r="B48" s="15"/>
      <c r="C48" s="16"/>
      <c r="D48" s="14"/>
      <c r="E48" s="15"/>
      <c r="F48" s="16"/>
      <c r="G48" s="14"/>
      <c r="H48" s="15"/>
      <c r="I48" s="16"/>
      <c r="J48" s="14"/>
      <c r="K48" s="15"/>
    </row>
    <row r="49" customFormat="false" ht="15" hidden="false" customHeight="false" outlineLevel="0" collapsed="false">
      <c r="A49" s="14"/>
      <c r="B49" s="15"/>
      <c r="C49" s="16"/>
      <c r="D49" s="14"/>
      <c r="E49" s="15"/>
      <c r="F49" s="16"/>
      <c r="G49" s="14"/>
      <c r="H49" s="15"/>
      <c r="I49" s="16"/>
      <c r="J49" s="14"/>
      <c r="K49" s="1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4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5" activeCellId="0" sqref="C5"/>
    </sheetView>
  </sheetViews>
  <sheetFormatPr defaultColWidth="10.9921875" defaultRowHeight="15" zeroHeight="false" outlineLevelRow="0" outlineLevelCol="0"/>
  <cols>
    <col collapsed="false" customWidth="false" hidden="false" outlineLevel="0" max="1" min="1" style="22" width="11"/>
    <col collapsed="false" customWidth="true" hidden="false" outlineLevel="0" max="15" min="2" style="0" width="11.2"/>
    <col collapsed="false" customWidth="true" hidden="false" outlineLevel="0" max="1024" min="999" style="0" width="10.5"/>
  </cols>
  <sheetData>
    <row r="1" s="9" customFormat="true" ht="15" hidden="false" customHeight="false" outlineLevel="0" collapsed="false">
      <c r="A1" s="5" t="s">
        <v>33</v>
      </c>
      <c r="B1" s="8" t="s">
        <v>17</v>
      </c>
      <c r="C1" s="8" t="s">
        <v>27</v>
      </c>
      <c r="D1" s="8" t="s">
        <v>28</v>
      </c>
      <c r="E1" s="5" t="s">
        <v>18</v>
      </c>
      <c r="F1" s="8" t="s">
        <v>29</v>
      </c>
      <c r="G1" s="8" t="s">
        <v>19</v>
      </c>
      <c r="H1" s="8" t="s">
        <v>20</v>
      </c>
      <c r="I1" s="8" t="s">
        <v>21</v>
      </c>
      <c r="J1" s="8" t="s">
        <v>22</v>
      </c>
      <c r="K1" s="8" t="s">
        <v>23</v>
      </c>
      <c r="L1" s="8" t="s">
        <v>24</v>
      </c>
      <c r="M1" s="8" t="s">
        <v>25</v>
      </c>
      <c r="N1" s="8" t="s">
        <v>26</v>
      </c>
      <c r="O1" s="5" t="s">
        <v>32</v>
      </c>
    </row>
    <row r="2" customFormat="false" ht="15" hidden="false" customHeight="false" outlineLevel="0" collapsed="false">
      <c r="A2" s="23" t="s">
        <v>34</v>
      </c>
      <c r="B2" s="24" t="n">
        <v>0.274550934987422</v>
      </c>
      <c r="C2" s="25" t="n">
        <v>-5.18051494548341</v>
      </c>
      <c r="D2" s="25"/>
      <c r="E2" s="25"/>
      <c r="F2" s="25"/>
      <c r="G2" s="26" t="n">
        <v>13.5432215225843</v>
      </c>
      <c r="H2" s="25" t="n">
        <v>0.276665371085133</v>
      </c>
      <c r="I2" s="25" t="n">
        <v>0.033937735414355</v>
      </c>
      <c r="J2" s="24" t="n">
        <v>0.596393838252111</v>
      </c>
      <c r="K2" s="26" t="n">
        <v>0.0164608101412073</v>
      </c>
      <c r="L2" s="24" t="n">
        <v>0</v>
      </c>
      <c r="M2" s="25" t="n">
        <v>16.7361287024538</v>
      </c>
      <c r="N2" s="26" t="n">
        <v>-2.42003570745806</v>
      </c>
      <c r="O2" s="26" t="n">
        <v>6.91565362067857</v>
      </c>
    </row>
    <row r="3" customFormat="false" ht="15" hidden="false" customHeight="false" outlineLevel="0" collapsed="false">
      <c r="A3" s="23" t="s">
        <v>34</v>
      </c>
      <c r="B3" s="24" t="n">
        <v>0.29073074936103</v>
      </c>
      <c r="C3" s="25" t="n">
        <v>-5.22663988769975</v>
      </c>
      <c r="D3" s="25"/>
      <c r="E3" s="25"/>
      <c r="F3" s="25"/>
      <c r="G3" s="26" t="n">
        <v>14.7436032433934</v>
      </c>
      <c r="H3" s="25" t="n">
        <v>0.256316607628357</v>
      </c>
      <c r="I3" s="25" t="n">
        <v>0.0597833795522141</v>
      </c>
      <c r="J3" s="24" t="n">
        <v>0.521522140250756</v>
      </c>
      <c r="K3" s="26" t="n">
        <v>0.0126826870614206</v>
      </c>
      <c r="L3" s="24" t="n">
        <v>-0.000475680082923727</v>
      </c>
      <c r="M3" s="25" t="n">
        <v>17.3565833347933</v>
      </c>
      <c r="N3" s="26" t="n">
        <v>-2.95880449976483</v>
      </c>
      <c r="O3" s="26" t="n">
        <v>5.86607980898125</v>
      </c>
    </row>
    <row r="4" customFormat="false" ht="15" hidden="false" customHeight="false" outlineLevel="0" collapsed="false">
      <c r="A4" s="27" t="s">
        <v>35</v>
      </c>
      <c r="B4" s="28" t="n">
        <v>0.164621081552073</v>
      </c>
      <c r="D4" s="29" t="n">
        <v>-2.49035332434715</v>
      </c>
      <c r="E4" s="29"/>
      <c r="F4" s="29"/>
      <c r="G4" s="30" t="n">
        <v>0.816593011934284</v>
      </c>
      <c r="H4" s="29" t="n">
        <v>0.0983157831083224</v>
      </c>
      <c r="I4" s="29" t="n">
        <v>0.015835642899531</v>
      </c>
      <c r="J4" s="28" t="n">
        <v>0.668563509848592</v>
      </c>
      <c r="K4" s="30" t="n">
        <v>0.0472194333402918</v>
      </c>
      <c r="L4" s="28" t="n">
        <v>-0.000288798501013768</v>
      </c>
      <c r="M4" s="29" t="n">
        <v>5.90979094395158</v>
      </c>
      <c r="N4" s="30" t="n">
        <v>-5.07967122793033</v>
      </c>
      <c r="O4" s="30" t="n">
        <v>1.16341996928007</v>
      </c>
    </row>
    <row r="5" customFormat="false" ht="15" hidden="false" customHeight="false" outlineLevel="0" collapsed="false">
      <c r="A5" s="27" t="s">
        <v>35</v>
      </c>
      <c r="B5" s="28" t="n">
        <v>0.182249660414427</v>
      </c>
      <c r="D5" s="29" t="n">
        <v>-2.77184684816535</v>
      </c>
      <c r="E5" s="29"/>
      <c r="F5" s="29"/>
      <c r="G5" s="30" t="n">
        <v>0.735031538816352</v>
      </c>
      <c r="H5" s="29" t="n">
        <v>0.111844404236755</v>
      </c>
      <c r="I5" s="29" t="n">
        <v>0.0143907553297682</v>
      </c>
      <c r="J5" s="28" t="n">
        <v>0.544518847674111</v>
      </c>
      <c r="K5" s="30" t="n">
        <v>0.0478692010455177</v>
      </c>
      <c r="L5" s="28" t="n">
        <v>0</v>
      </c>
      <c r="M5" s="29" t="n">
        <v>6.23517924760444</v>
      </c>
      <c r="N5" s="30" t="n">
        <v>-5.40596219398511</v>
      </c>
      <c r="O5" s="30" t="n">
        <v>1.15338935491298</v>
      </c>
    </row>
    <row r="6" customFormat="false" ht="15" hidden="false" customHeight="false" outlineLevel="0" collapsed="false">
      <c r="A6" s="31" t="s">
        <v>36</v>
      </c>
      <c r="B6" s="32" t="n">
        <v>0.373107191878456</v>
      </c>
      <c r="D6" s="33"/>
      <c r="E6" s="33" t="n">
        <v>-13.2028899646571</v>
      </c>
      <c r="F6" s="33"/>
      <c r="G6" s="34" t="n">
        <v>18.6485473522315</v>
      </c>
      <c r="H6" s="33" t="n">
        <v>1.21972681582988</v>
      </c>
      <c r="I6" s="33" t="n">
        <v>0.0598195886248727</v>
      </c>
      <c r="J6" s="32" t="n">
        <v>0.463939759137365</v>
      </c>
      <c r="K6" s="34" t="n">
        <v>0.0295150113253846</v>
      </c>
      <c r="L6" s="32" t="n">
        <v>0</v>
      </c>
      <c r="M6" s="33" t="n">
        <v>21.5206387174</v>
      </c>
      <c r="N6" s="34" t="n">
        <v>-1.93873910755024</v>
      </c>
      <c r="O6" s="34" t="n">
        <v>11.1003273383148</v>
      </c>
    </row>
    <row r="7" customFormat="false" ht="15" hidden="false" customHeight="false" outlineLevel="0" collapsed="false">
      <c r="A7" s="31" t="s">
        <v>36</v>
      </c>
      <c r="B7" s="32" t="n">
        <v>0.368940086743806</v>
      </c>
      <c r="D7" s="33"/>
      <c r="E7" s="33" t="n">
        <v>-12.4385569690121</v>
      </c>
      <c r="F7" s="33"/>
      <c r="G7" s="34" t="n">
        <v>17.585117187919</v>
      </c>
      <c r="H7" s="33" t="n">
        <v>1.20795864305643</v>
      </c>
      <c r="I7" s="33" t="n">
        <v>0.0599687871449156</v>
      </c>
      <c r="J7" s="32" t="n">
        <v>0.487317053826442</v>
      </c>
      <c r="K7" s="34" t="n">
        <v>0.0244803857895987</v>
      </c>
      <c r="L7" s="32" t="n">
        <v>-0.000246574396186685</v>
      </c>
      <c r="M7" s="33" t="n">
        <v>20.5088179489413</v>
      </c>
      <c r="N7" s="34" t="n">
        <v>-1.91301471716968</v>
      </c>
      <c r="O7" s="34" t="n">
        <v>10.7206796502247</v>
      </c>
    </row>
    <row r="8" customFormat="false" ht="15" hidden="false" customHeight="false" outlineLevel="0" collapsed="false">
      <c r="A8" s="23" t="s">
        <v>37</v>
      </c>
      <c r="B8" s="24" t="n">
        <v>0.0516033097166754</v>
      </c>
      <c r="D8" s="25"/>
      <c r="E8" s="25"/>
      <c r="F8" s="25" t="n">
        <v>-0.263940436754838</v>
      </c>
      <c r="G8" s="26" t="n">
        <v>0.000164904652950857</v>
      </c>
      <c r="H8" s="25" t="n">
        <v>-0.000192481368770291</v>
      </c>
      <c r="I8" s="25" t="n">
        <v>5.68786874494023E-005</v>
      </c>
      <c r="J8" s="24" t="n">
        <v>0.00322532168880057</v>
      </c>
      <c r="K8" s="26" t="n">
        <v>0.00306392697591641</v>
      </c>
      <c r="L8" s="24" t="n">
        <v>0</v>
      </c>
      <c r="M8" s="25" t="n">
        <v>1.6696071561396</v>
      </c>
      <c r="N8" s="26" t="n">
        <v>-1.70047279490384</v>
      </c>
      <c r="O8" s="26" t="n">
        <v>0.981848790020789</v>
      </c>
    </row>
    <row r="9" customFormat="false" ht="15" hidden="false" customHeight="false" outlineLevel="0" collapsed="false">
      <c r="A9" s="23" t="s">
        <v>37</v>
      </c>
      <c r="B9" s="24" t="n">
        <v>0.0479583684142393</v>
      </c>
      <c r="D9" s="25"/>
      <c r="E9" s="25"/>
      <c r="F9" s="25" t="n">
        <v>-0.206947168263443</v>
      </c>
      <c r="G9" s="26" t="n">
        <v>0.000644316378002812</v>
      </c>
      <c r="H9" s="25" t="n">
        <v>-0.000317601340282407</v>
      </c>
      <c r="I9" s="25" t="n">
        <v>0.000104865167407203</v>
      </c>
      <c r="J9" s="24" t="n">
        <v>0.00265253035672218</v>
      </c>
      <c r="K9" s="26" t="n">
        <v>0.0026013874709893</v>
      </c>
      <c r="L9" s="24" t="n">
        <v>0</v>
      </c>
      <c r="M9" s="25" t="n">
        <v>1.49807014605194</v>
      </c>
      <c r="N9" s="26" t="n">
        <v>-1.60061542572271</v>
      </c>
      <c r="O9" s="26" t="n">
        <v>0.9359338426815</v>
      </c>
    </row>
    <row r="10" customFormat="false" ht="15" hidden="false" customHeight="false" outlineLevel="0" collapsed="false">
      <c r="A10" s="35"/>
    </row>
    <row r="18" customFormat="false" ht="21" hidden="false" customHeight="false" outlineLevel="0" collapsed="false">
      <c r="A18" s="3"/>
      <c r="C18" s="18"/>
      <c r="D18" s="18"/>
      <c r="E18" s="18"/>
      <c r="F18" s="18"/>
      <c r="G18" s="4"/>
      <c r="I18" s="4"/>
      <c r="J18" s="4"/>
      <c r="K18" s="4"/>
      <c r="N18" s="4"/>
      <c r="O18" s="4"/>
    </row>
    <row r="19" customFormat="false" ht="15" hidden="false" customHeight="false" outlineLevel="0" collapsed="false">
      <c r="A19" s="5"/>
      <c r="B19" s="13"/>
      <c r="C19" s="13"/>
      <c r="D19" s="13"/>
      <c r="E19" s="13"/>
      <c r="F19" s="13"/>
      <c r="G19" s="13"/>
      <c r="I19" s="13"/>
      <c r="J19" s="13"/>
      <c r="K19" s="13"/>
      <c r="N19" s="9"/>
      <c r="O19" s="13"/>
      <c r="P19" s="9"/>
      <c r="Q19" s="9"/>
      <c r="R19" s="9"/>
      <c r="S19" s="9"/>
      <c r="T19" s="9"/>
    </row>
    <row r="20" customFormat="false" ht="15" hidden="false" customHeight="false" outlineLevel="0" collapsed="false">
      <c r="A20" s="5"/>
      <c r="B20" s="14"/>
      <c r="C20" s="15"/>
      <c r="D20" s="15"/>
      <c r="E20" s="15"/>
      <c r="F20" s="15"/>
      <c r="G20" s="16"/>
      <c r="I20" s="17"/>
      <c r="J20" s="14"/>
      <c r="K20" s="14"/>
      <c r="O20" s="4"/>
    </row>
    <row r="21" customFormat="false" ht="15" hidden="false" customHeight="false" outlineLevel="0" collapsed="false">
      <c r="A21" s="5"/>
      <c r="B21" s="14"/>
      <c r="C21" s="15"/>
      <c r="D21" s="15"/>
      <c r="E21" s="15"/>
      <c r="F21" s="15"/>
      <c r="G21" s="16"/>
      <c r="H21" s="14"/>
      <c r="I21" s="17"/>
      <c r="J21" s="14"/>
      <c r="K21" s="14"/>
      <c r="O21" s="4"/>
    </row>
    <row r="22" customFormat="false" ht="15" hidden="false" customHeight="false" outlineLevel="0" collapsed="false">
      <c r="A22" s="5"/>
      <c r="B22" s="14"/>
      <c r="C22" s="15"/>
      <c r="D22" s="15"/>
      <c r="E22" s="15"/>
      <c r="F22" s="15"/>
      <c r="G22" s="16"/>
      <c r="H22" s="14"/>
      <c r="I22" s="17"/>
      <c r="J22" s="14"/>
      <c r="K22" s="14"/>
      <c r="L22" s="14"/>
      <c r="O22" s="4"/>
    </row>
    <row r="23" customFormat="false" ht="15" hidden="false" customHeight="false" outlineLevel="0" collapsed="false">
      <c r="A23" s="5"/>
      <c r="B23" s="14"/>
      <c r="C23" s="15"/>
      <c r="D23" s="15"/>
      <c r="E23" s="15"/>
      <c r="F23" s="15"/>
      <c r="G23" s="16"/>
      <c r="H23" s="17"/>
      <c r="I23" s="17"/>
      <c r="J23" s="14"/>
      <c r="K23" s="14"/>
      <c r="L23" s="14"/>
      <c r="O23" s="4"/>
    </row>
    <row r="24" customFormat="false" ht="15" hidden="false" customHeight="false" outlineLevel="0" collapsed="false">
      <c r="A24" s="5"/>
      <c r="B24" s="14"/>
      <c r="C24" s="15"/>
      <c r="D24" s="15"/>
      <c r="E24" s="15"/>
      <c r="F24" s="15"/>
      <c r="G24" s="16"/>
      <c r="H24" s="17"/>
      <c r="I24" s="17"/>
      <c r="J24" s="14"/>
      <c r="K24" s="14"/>
      <c r="L24" s="14"/>
      <c r="O24" s="4"/>
    </row>
    <row r="25" customFormat="false" ht="15" hidden="false" customHeight="false" outlineLevel="0" collapsed="false">
      <c r="A25" s="5"/>
      <c r="B25" s="14"/>
      <c r="C25" s="15"/>
      <c r="D25" s="15"/>
      <c r="E25" s="15"/>
      <c r="F25" s="15"/>
      <c r="G25" s="16"/>
      <c r="H25" s="14"/>
      <c r="I25" s="17"/>
      <c r="J25" s="14"/>
      <c r="K25" s="14"/>
      <c r="L25" s="14"/>
      <c r="O25" s="15"/>
    </row>
    <row r="26" customFormat="false" ht="15" hidden="false" customHeight="false" outlineLevel="0" collapsed="false">
      <c r="A26" s="5"/>
      <c r="B26" s="14"/>
      <c r="C26" s="15"/>
      <c r="D26" s="15"/>
      <c r="E26" s="15"/>
      <c r="F26" s="15"/>
      <c r="G26" s="16"/>
      <c r="H26" s="14"/>
      <c r="I26" s="17"/>
      <c r="J26" s="14"/>
      <c r="K26" s="14"/>
      <c r="L26" s="14"/>
      <c r="O26" s="4"/>
    </row>
    <row r="27" customFormat="false" ht="15" hidden="false" customHeight="false" outlineLevel="0" collapsed="false">
      <c r="A27" s="5"/>
      <c r="B27" s="14"/>
      <c r="C27" s="15"/>
      <c r="D27" s="15"/>
      <c r="E27" s="15"/>
      <c r="F27" s="15"/>
      <c r="G27" s="16"/>
      <c r="H27" s="17"/>
      <c r="I27" s="17"/>
      <c r="J27" s="14"/>
      <c r="K27" s="14"/>
      <c r="L27" s="14"/>
      <c r="O27" s="4"/>
    </row>
    <row r="28" customFormat="false" ht="15" hidden="false" customHeight="false" outlineLevel="0" collapsed="false">
      <c r="A28" s="5"/>
      <c r="B28" s="14"/>
      <c r="C28" s="15"/>
      <c r="D28" s="15"/>
      <c r="E28" s="15"/>
      <c r="F28" s="15"/>
      <c r="G28" s="16"/>
      <c r="H28" s="14"/>
      <c r="I28" s="17"/>
      <c r="J28" s="14"/>
      <c r="K28" s="14"/>
      <c r="L28" s="14"/>
      <c r="O28" s="18"/>
    </row>
    <row r="29" customFormat="false" ht="15" hidden="false" customHeight="false" outlineLevel="0" collapsed="false">
      <c r="A29" s="5"/>
      <c r="B29" s="14"/>
      <c r="C29" s="15"/>
      <c r="D29" s="15"/>
      <c r="E29" s="15"/>
      <c r="F29" s="15"/>
      <c r="G29" s="16"/>
      <c r="H29" s="14"/>
      <c r="I29" s="17"/>
      <c r="J29" s="14"/>
      <c r="K29" s="14"/>
      <c r="L29" s="14"/>
      <c r="O29" s="4"/>
    </row>
    <row r="30" customFormat="false" ht="15" hidden="false" customHeight="false" outlineLevel="0" collapsed="false">
      <c r="A30" s="5"/>
      <c r="B30" s="14"/>
      <c r="C30" s="15"/>
      <c r="D30" s="15"/>
      <c r="E30" s="15"/>
      <c r="F30" s="15"/>
      <c r="G30" s="16"/>
      <c r="H30" s="14"/>
      <c r="I30" s="17"/>
      <c r="J30" s="14"/>
      <c r="K30" s="14"/>
      <c r="L30" s="14"/>
      <c r="O30" s="19"/>
    </row>
    <row r="31" customFormat="false" ht="15" hidden="false" customHeight="false" outlineLevel="0" collapsed="false">
      <c r="A31" s="5"/>
      <c r="B31" s="14"/>
      <c r="C31" s="15"/>
      <c r="D31" s="15"/>
      <c r="E31" s="15"/>
      <c r="F31" s="15"/>
      <c r="G31" s="16"/>
      <c r="H31" s="14"/>
      <c r="I31" s="17"/>
      <c r="J31" s="14"/>
      <c r="K31" s="14"/>
      <c r="L31" s="14"/>
      <c r="O31" s="4"/>
    </row>
    <row r="32" customFormat="false" ht="15" hidden="false" customHeight="false" outlineLevel="0" collapsed="false">
      <c r="A32" s="35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</row>
    <row r="33" customFormat="false" ht="21" hidden="false" customHeight="false" outlineLevel="0" collapsed="false">
      <c r="A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customFormat="false" ht="15" hidden="false" customHeight="fals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9"/>
      <c r="Q34" s="9"/>
      <c r="R34" s="9"/>
      <c r="S34" s="9"/>
      <c r="T34" s="9"/>
    </row>
    <row r="35" customFormat="false" ht="15" hidden="false" customHeight="false" outlineLevel="0" collapsed="false">
      <c r="A35" s="5"/>
      <c r="B35" s="14"/>
      <c r="C35" s="15"/>
      <c r="D35" s="15"/>
      <c r="E35" s="15"/>
      <c r="F35" s="15"/>
      <c r="G35" s="16"/>
      <c r="H35" s="14"/>
      <c r="I35" s="15"/>
      <c r="J35" s="16"/>
      <c r="K35" s="14"/>
      <c r="L35" s="15"/>
      <c r="M35" s="16"/>
      <c r="N35" s="14"/>
      <c r="O35" s="15"/>
    </row>
    <row r="36" customFormat="false" ht="15" hidden="false" customHeight="false" outlineLevel="0" collapsed="false">
      <c r="A36" s="5"/>
      <c r="B36" s="14"/>
      <c r="C36" s="15"/>
      <c r="D36" s="15"/>
      <c r="E36" s="15"/>
      <c r="F36" s="15"/>
      <c r="G36" s="16"/>
      <c r="H36" s="14"/>
      <c r="I36" s="15"/>
      <c r="J36" s="16"/>
      <c r="K36" s="14"/>
      <c r="L36" s="15"/>
      <c r="M36" s="16"/>
      <c r="N36" s="14"/>
      <c r="O36" s="15"/>
    </row>
    <row r="37" customFormat="false" ht="15" hidden="false" customHeight="false" outlineLevel="0" collapsed="false">
      <c r="A37" s="5"/>
      <c r="B37" s="14"/>
      <c r="C37" s="15"/>
      <c r="D37" s="15"/>
      <c r="E37" s="15"/>
      <c r="F37" s="15"/>
      <c r="G37" s="16"/>
      <c r="H37" s="14"/>
      <c r="I37" s="15"/>
      <c r="J37" s="16"/>
      <c r="K37" s="14"/>
      <c r="L37" s="15"/>
      <c r="M37" s="16"/>
      <c r="N37" s="14"/>
      <c r="O37" s="15"/>
    </row>
    <row r="38" customFormat="false" ht="15" hidden="false" customHeight="false" outlineLevel="0" collapsed="false">
      <c r="A38" s="5"/>
      <c r="B38" s="14"/>
      <c r="C38" s="15"/>
      <c r="D38" s="15"/>
      <c r="E38" s="15"/>
      <c r="F38" s="15"/>
      <c r="G38" s="16"/>
      <c r="H38" s="14"/>
      <c r="I38" s="15"/>
      <c r="J38" s="16"/>
      <c r="K38" s="14"/>
      <c r="L38" s="15"/>
      <c r="M38" s="16"/>
      <c r="N38" s="14"/>
      <c r="O38" s="15"/>
    </row>
    <row r="39" customFormat="false" ht="15" hidden="false" customHeight="false" outlineLevel="0" collapsed="false">
      <c r="A39" s="5"/>
      <c r="B39" s="14"/>
      <c r="C39" s="15"/>
      <c r="D39" s="15"/>
      <c r="E39" s="15"/>
      <c r="F39" s="15"/>
      <c r="G39" s="16"/>
      <c r="H39" s="14"/>
      <c r="I39" s="15"/>
      <c r="J39" s="16"/>
      <c r="K39" s="14"/>
      <c r="L39" s="15"/>
      <c r="M39" s="16"/>
      <c r="N39" s="14"/>
      <c r="O39" s="15"/>
    </row>
    <row r="40" customFormat="false" ht="15" hidden="false" customHeight="false" outlineLevel="0" collapsed="false">
      <c r="A40" s="5"/>
      <c r="B40" s="14"/>
      <c r="C40" s="15"/>
      <c r="D40" s="15"/>
      <c r="E40" s="15"/>
      <c r="F40" s="15"/>
      <c r="G40" s="16"/>
      <c r="H40" s="14"/>
      <c r="I40" s="15"/>
      <c r="J40" s="16"/>
      <c r="K40" s="14"/>
      <c r="L40" s="20"/>
      <c r="M40" s="21"/>
      <c r="N40" s="14"/>
      <c r="O40" s="15"/>
    </row>
    <row r="41" customFormat="false" ht="15" hidden="false" customHeight="false" outlineLevel="0" collapsed="false">
      <c r="A41" s="5"/>
      <c r="B41" s="14"/>
      <c r="C41" s="15"/>
      <c r="D41" s="15"/>
      <c r="E41" s="15"/>
      <c r="F41" s="15"/>
      <c r="G41" s="16"/>
      <c r="H41" s="14"/>
      <c r="I41" s="15"/>
      <c r="J41" s="16"/>
      <c r="K41" s="14"/>
      <c r="L41" s="15"/>
      <c r="M41" s="16"/>
      <c r="N41" s="14"/>
      <c r="O41" s="15"/>
    </row>
    <row r="42" customFormat="false" ht="15" hidden="false" customHeight="false" outlineLevel="0" collapsed="false">
      <c r="A42" s="5"/>
      <c r="B42" s="14"/>
      <c r="C42" s="15"/>
      <c r="D42" s="15"/>
      <c r="E42" s="15"/>
      <c r="F42" s="15"/>
      <c r="G42" s="16"/>
      <c r="H42" s="14"/>
      <c r="I42" s="15"/>
      <c r="J42" s="16"/>
      <c r="K42" s="14"/>
      <c r="L42" s="15"/>
      <c r="M42" s="16"/>
      <c r="N42" s="14"/>
      <c r="O42" s="15"/>
    </row>
    <row r="43" customFormat="false" ht="15" hidden="false" customHeight="false" outlineLevel="0" collapsed="false">
      <c r="A43" s="5"/>
      <c r="B43" s="14"/>
      <c r="C43" s="15"/>
      <c r="D43" s="15"/>
      <c r="E43" s="15"/>
      <c r="F43" s="15"/>
      <c r="G43" s="16"/>
      <c r="H43" s="14"/>
      <c r="I43" s="15"/>
      <c r="J43" s="16"/>
      <c r="K43" s="14"/>
      <c r="L43" s="15"/>
      <c r="M43" s="16"/>
      <c r="N43" s="14"/>
      <c r="O43" s="15"/>
    </row>
    <row r="44" customFormat="false" ht="15" hidden="false" customHeight="false" outlineLevel="0" collapsed="false">
      <c r="A44" s="5"/>
      <c r="B44" s="14"/>
      <c r="C44" s="15"/>
      <c r="D44" s="15"/>
      <c r="E44" s="15"/>
      <c r="F44" s="15"/>
      <c r="G44" s="16"/>
      <c r="H44" s="14"/>
      <c r="I44" s="15"/>
      <c r="J44" s="16"/>
      <c r="K44" s="14"/>
      <c r="L44" s="15"/>
      <c r="M44" s="16"/>
      <c r="N44" s="14"/>
      <c r="O44" s="15"/>
    </row>
    <row r="45" customFormat="false" ht="15" hidden="false" customHeight="false" outlineLevel="0" collapsed="false">
      <c r="A45" s="5"/>
      <c r="B45" s="14"/>
      <c r="C45" s="15"/>
      <c r="D45" s="15"/>
      <c r="E45" s="15"/>
      <c r="F45" s="15"/>
      <c r="G45" s="16"/>
      <c r="H45" s="14"/>
      <c r="I45" s="15"/>
      <c r="J45" s="16"/>
      <c r="K45" s="14"/>
      <c r="L45" s="15"/>
      <c r="M45" s="16"/>
      <c r="N45" s="14"/>
      <c r="O45" s="15"/>
    </row>
    <row r="46" customFormat="false" ht="15" hidden="false" customHeight="false" outlineLevel="0" collapsed="false">
      <c r="A46" s="5"/>
      <c r="B46" s="14"/>
      <c r="C46" s="15"/>
      <c r="D46" s="15"/>
      <c r="E46" s="15"/>
      <c r="F46" s="15"/>
      <c r="G46" s="16"/>
      <c r="H46" s="14"/>
      <c r="I46" s="15"/>
      <c r="J46" s="16"/>
      <c r="K46" s="14"/>
      <c r="L46" s="15"/>
      <c r="M46" s="16"/>
      <c r="N46" s="14"/>
      <c r="O46" s="15"/>
    </row>
    <row r="47" customFormat="false" ht="15" hidden="false" customHeight="false" outlineLevel="0" collapsed="false">
      <c r="A47" s="3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Roman,Regular"&amp;A</oddHeader>
    <oddFooter>&amp;C&amp;"Times New Roman,Regular"Page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1684</TotalTime>
  <Application>LibreOffice/7.3.7.2$Linux_X86_64 LibreOffice_project/30$Build-2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2020-03-19T10:01:43Z</dcterms:created>
  <dc:creator>M.M.M. Bisschops</dc:creator>
  <dc:description/>
  <dc:language>en-US</dc:language>
  <cp:lastModifiedBy/>
  <dcterms:modified xsi:type="dcterms:W3CDTF">2024-09-04T14:50:25Z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